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filterPrivacy="1" codeName="ThisWorkbook" defaultThemeVersion="124226"/>
  <xr:revisionPtr revIDLastSave="0" documentId="13_ncr:1_{D1E4F8F3-23CB-41A3-A5ED-4B4C3EAF0B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NU" sheetId="1" r:id="rId1"/>
    <sheet name="Słownik" sheetId="5" r:id="rId2"/>
  </sheets>
  <definedNames>
    <definedName name="bilans">MENU!$L$3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1" l="1"/>
  <c r="D55" i="1"/>
  <c r="D59" i="1"/>
  <c r="D61" i="1"/>
  <c r="E60" i="1"/>
  <c r="C57" i="1"/>
  <c r="E55" i="1"/>
  <c r="C55" i="1"/>
  <c r="D56" i="1"/>
  <c r="D60" i="1"/>
  <c r="C60" i="1"/>
  <c r="C58" i="1"/>
  <c r="C61" i="1"/>
  <c r="D58" i="1"/>
  <c r="E61" i="1"/>
  <c r="C59" i="1"/>
  <c r="E59" i="1"/>
  <c r="C56" i="1"/>
  <c r="E58" i="1"/>
  <c r="D57" i="1"/>
  <c r="E56" i="1"/>
  <c r="E57" i="1"/>
  <c r="C87" i="1" l="1"/>
  <c r="C95" i="1"/>
  <c r="C91" i="1"/>
  <c r="C69" i="1"/>
  <c r="C149" i="1"/>
  <c r="D114" i="1"/>
  <c r="D95" i="1"/>
  <c r="D77" i="1"/>
  <c r="C73" i="1"/>
  <c r="D145" i="1"/>
  <c r="C145" i="1"/>
  <c r="C106" i="1"/>
  <c r="C125" i="1"/>
  <c r="C85" i="1"/>
  <c r="C104" i="1" s="1"/>
  <c r="C123" i="1" s="1"/>
  <c r="C143" i="1" s="1"/>
  <c r="C67" i="1"/>
  <c r="D91" i="1"/>
  <c r="D110" i="1"/>
  <c r="D73" i="1"/>
  <c r="D129" i="1"/>
  <c r="C133" i="1"/>
  <c r="D153" i="1"/>
  <c r="C153" i="1"/>
  <c r="C114" i="1"/>
  <c r="C75" i="1"/>
  <c r="C93" i="1" s="1"/>
  <c r="C112" i="1" s="1"/>
  <c r="C131" i="1" s="1"/>
  <c r="C151" i="1" s="1"/>
  <c r="C77" i="1"/>
  <c r="D125" i="1"/>
  <c r="C71" i="1"/>
  <c r="C89" i="1" s="1"/>
  <c r="C108" i="1" s="1"/>
  <c r="C127" i="1" s="1"/>
  <c r="C147" i="1" s="1"/>
  <c r="D69" i="1"/>
  <c r="D87" i="1"/>
  <c r="D106" i="1"/>
  <c r="D133" i="1"/>
  <c r="C129" i="1"/>
  <c r="D149" i="1"/>
  <c r="C110" i="1"/>
  <c r="C154" i="1" l="1"/>
  <c r="E154" i="1" s="1"/>
  <c r="C150" i="1"/>
  <c r="C146" i="1"/>
  <c r="C134" i="1"/>
  <c r="E134" i="1" s="1"/>
  <c r="C130" i="1"/>
  <c r="E130" i="1" s="1"/>
  <c r="C126" i="1"/>
  <c r="E126" i="1" s="1"/>
  <c r="C115" i="1"/>
  <c r="C111" i="1"/>
  <c r="E115" i="1" s="1"/>
  <c r="C107" i="1"/>
  <c r="E107" i="1" s="1"/>
  <c r="C96" i="1"/>
  <c r="E96" i="1" s="1"/>
  <c r="C92" i="1"/>
  <c r="C88" i="1"/>
  <c r="E88" i="1" s="1"/>
  <c r="C78" i="1"/>
  <c r="E78" i="1" s="1"/>
  <c r="C70" i="1"/>
  <c r="E70" i="1" s="1"/>
  <c r="C74" i="1"/>
  <c r="C79" i="1"/>
  <c r="C97" i="1" s="1"/>
  <c r="C116" i="1" s="1"/>
  <c r="C135" i="1" s="1"/>
  <c r="C155" i="1" s="1"/>
  <c r="C81" i="1"/>
  <c r="C99" i="1" s="1"/>
  <c r="C118" i="1" s="1"/>
  <c r="C137" i="1" s="1"/>
  <c r="C157" i="1" s="1"/>
  <c r="C158" i="1" l="1"/>
  <c r="E150" i="1"/>
  <c r="C156" i="1"/>
  <c r="E156" i="1" s="1"/>
  <c r="F156" i="1" s="1"/>
  <c r="C136" i="1"/>
  <c r="E136" i="1" s="1"/>
  <c r="F136" i="1" s="1"/>
  <c r="C138" i="1"/>
  <c r="E138" i="1" s="1"/>
  <c r="F138" i="1" s="1"/>
  <c r="C117" i="1"/>
  <c r="E117" i="1" s="1"/>
  <c r="F117" i="1" s="1"/>
  <c r="C119" i="1"/>
  <c r="E119" i="1" s="1"/>
  <c r="F119" i="1" s="1"/>
  <c r="C100" i="1"/>
  <c r="E100" i="1" s="1"/>
  <c r="F100" i="1" s="1"/>
  <c r="E92" i="1"/>
  <c r="C98" i="1"/>
  <c r="E98" i="1" s="1"/>
  <c r="F98" i="1" s="1"/>
  <c r="C80" i="1"/>
  <c r="C82" i="1"/>
  <c r="E74" i="1"/>
  <c r="E146" i="1"/>
  <c r="E111" i="1"/>
  <c r="E158" i="1"/>
  <c r="F158" i="1" s="1"/>
  <c r="E82" i="1" l="1"/>
  <c r="F82" i="1" s="1"/>
  <c r="E80" i="1"/>
  <c r="F80" i="1" s="1"/>
</calcChain>
</file>

<file path=xl/sharedStrings.xml><?xml version="1.0" encoding="utf-8"?>
<sst xmlns="http://schemas.openxmlformats.org/spreadsheetml/2006/main" count="119" uniqueCount="65">
  <si>
    <t xml:space="preserve">     </t>
  </si>
  <si>
    <t>Ścieżka dostępu</t>
  </si>
  <si>
    <t>Rozszerzenie nazwy</t>
  </si>
  <si>
    <t>Wczytamy?</t>
  </si>
  <si>
    <t>Plik istniał ?</t>
  </si>
  <si>
    <t>Żądana nazwa arkusza</t>
  </si>
  <si>
    <t>w latach</t>
  </si>
  <si>
    <t>C:\PROG\EKAN\OPERATOR\PT13_53</t>
  </si>
  <si>
    <t>BIK</t>
  </si>
  <si>
    <t>Bilans okresowy</t>
  </si>
  <si>
    <t>Płynność natychmiastowa</t>
  </si>
  <si>
    <t>Płynność szybka</t>
  </si>
  <si>
    <t>Płynność bieżąca</t>
  </si>
  <si>
    <t>Nazwa wskaźnika</t>
  </si>
  <si>
    <t>licznik</t>
  </si>
  <si>
    <t>mianownik</t>
  </si>
  <si>
    <t>źródło licznika</t>
  </si>
  <si>
    <t>źródło mianownika</t>
  </si>
  <si>
    <t>dolna granica</t>
  </si>
  <si>
    <t>górna granica</t>
  </si>
  <si>
    <t>kapitał obrotowy do aktywów ogółem</t>
  </si>
  <si>
    <t>kapitał obrotowy do aktywów obrotowych</t>
  </si>
  <si>
    <t>inwestycje krótkoterminowe</t>
  </si>
  <si>
    <t>zobowiązania krótkoterminowe</t>
  </si>
  <si>
    <t>WSKAŹNIK PŁYNNOŚCI NATYCHMIASTOWEJ (WPN) – I stopnia</t>
  </si>
  <si>
    <t>bilans</t>
  </si>
  <si>
    <t>należności krótkoterminowe + środki pieniężne</t>
  </si>
  <si>
    <t>aktywa obrotowe</t>
  </si>
  <si>
    <t>Inwestycje krótkoterminowe</t>
  </si>
  <si>
    <t>Zobowiązania krótkoterminowe</t>
  </si>
  <si>
    <t>Należności krótkoterminowe</t>
  </si>
  <si>
    <t>Aktywa obrotowe</t>
  </si>
  <si>
    <t>Aktywa ogółem</t>
  </si>
  <si>
    <t>ocena</t>
  </si>
  <si>
    <t>Diagnozy ogółem</t>
  </si>
  <si>
    <t>wzrost</t>
  </si>
  <si>
    <t>bez zmian</t>
  </si>
  <si>
    <t>spadek</t>
  </si>
  <si>
    <t>dobrze</t>
  </si>
  <si>
    <t>źle</t>
  </si>
  <si>
    <t>środki pieniężne</t>
  </si>
  <si>
    <t>Kapitał obrotowy do aktywów ogółem</t>
  </si>
  <si>
    <t>Kapitał obrotowy do aktywów obrotowych</t>
  </si>
  <si>
    <t>pomiędzy</t>
  </si>
  <si>
    <t>Wskaźnik płynności natychmiastowej ukazuje w jakim stopniu działalność jest w stanie regulować bieżące zobowiązania finansowe aktywami o największej płatności, do których zaliczamy środki pieniężne (inwestycje krótkoterminowe). Zgodnie z literaturą firma była zdolna do sprawnego regulowania bieżących zobowiązań szacuje się, że środki pieniężne powinny stanowić 16-20% bieżących zobowiązań.</t>
  </si>
  <si>
    <t>WSKAŹNIK PŁYNNOŚCI SZYBKIEJ (WPS) – II stopnia</t>
  </si>
  <si>
    <t>typ zaleceń*</t>
  </si>
  <si>
    <t>*zalecenia zostały obrane na podstawie wskaźników dla branży budowlanej na 2019 rok</t>
  </si>
  <si>
    <t>Wskaźnik płynności szybkiej jest uzupełnieniem wskaźnika płynności bieżącej. Informuje on o możliwości spłacania krótkoterminowych zobowiązań spółki aktywami o wysokiej płynności.</t>
  </si>
  <si>
    <t>WSKAŹNIK PŁYNNOŚCI BIEŻĄCEJ (WPB) – III stopnia</t>
  </si>
  <si>
    <t>Wskaźnik płynności bieżącej pozwala określić w jakim stopniu działalność jest w stanie pokryć swoje zobowiązania bieżące aktywami obrotowymi.</t>
  </si>
  <si>
    <t>DANE</t>
  </si>
  <si>
    <t>aktywa obrotowe-zobowiązania krótkoterminowa</t>
  </si>
  <si>
    <t>aktywa ogółem</t>
  </si>
  <si>
    <t xml:space="preserve">aktywa obrotwe </t>
  </si>
  <si>
    <t>Zmienne decyzyjne</t>
  </si>
  <si>
    <t>DEC</t>
  </si>
  <si>
    <t xml:space="preserve">Wskaźnik uzupełnia ocenę płynności finansowej przedsiębiorstwa. Informuje o udziale kapitału obrotowego netto w finansowaniu zapasów i należności krótkoterminowych przedsiębiorstwa.  </t>
  </si>
  <si>
    <t>Wskaźnik ukazuje jaka jest proporcja płynnych aktywów elementów majątku, do aktywów ogółem. Im wyższe wartości przyjmuje wskaźnik, tym lepsza jest kondycja jednostki w zakresie płynności finansowej. Wskaźnik ma duże znaczenie, gdy porównuje się kondycje przedsiębiorstw o różnej wielkości.</t>
  </si>
  <si>
    <t>nadpłynność</t>
  </si>
  <si>
    <t>brak płynności</t>
  </si>
  <si>
    <t>powyżej</t>
  </si>
  <si>
    <t>za niski</t>
  </si>
  <si>
    <t>za wysoki</t>
  </si>
  <si>
    <t>test wczytania bilansu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</si>
</sst>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indexed="8"/>
      <name val="Czcionka tekstu podstawowego"/>
      <charset val="238"/>
    </font>
    <font>
      <sz val="14"/>
      <color indexed="8"/>
      <name val="Czcionka tekstu podstawowego"/>
      <charset val="238"/>
    </font>
    <font>
      <b/>
      <sz val="11"/>
      <color indexed="8"/>
      <name val="Czcionka tekstu podstawowego"/>
      <charset val="238"/>
    </font>
    <font>
      <sz val="8"/>
      <color rgb="FF000000"/>
      <name val="Tahoma"/>
      <family val="2"/>
      <charset val="238"/>
    </font>
    <font>
      <sz val="11"/>
      <color rgb="FF000000"/>
      <name val="Czcionka tekstu podstawowego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9"/>
      <color rgb="FF050505"/>
      <name val="Segoe UI Historic"/>
      <family val="2"/>
    </font>
    <font>
      <sz val="9"/>
      <color theme="1"/>
      <name val="Czcionka tekstu podstawowego"/>
      <family val="2"/>
      <charset val="238"/>
    </font>
    <font>
      <sz val="11"/>
      <color theme="0"/>
      <name val="Calibri"/>
      <family val="2"/>
      <charset val="238"/>
      <scheme val="minor"/>
    </font>
    <font>
      <sz val="11"/>
      <color theme="0"/>
      <name val="Czcionka tekstu podstawowego"/>
      <family val="2"/>
      <charset val="238"/>
    </font>
    <font>
      <b/>
      <sz val="11"/>
      <color theme="0"/>
      <name val="Czcionka tekstu podstawowego"/>
    </font>
    <font>
      <sz val="11"/>
      <color theme="0"/>
      <name val="Czcionka tekstu podstawowego"/>
    </font>
    <font>
      <sz val="11"/>
      <name val="Czcionka tekstu podstawowego"/>
      <charset val="238"/>
    </font>
    <font>
      <b/>
      <sz val="11"/>
      <name val="Czcionka tekstu podstawowego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5">
    <xf numFmtId="0" fontId="0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8">
    <xf numFmtId="0" fontId="0" fillId="0" borderId="0" xfId="0"/>
    <xf numFmtId="0" fontId="15" fillId="2" borderId="0" xfId="0" applyFont="1" applyFill="1"/>
    <xf numFmtId="0" fontId="16" fillId="2" borderId="0" xfId="0" applyFont="1" applyFill="1"/>
    <xf numFmtId="0" fontId="0" fillId="0" borderId="0" xfId="0" applyAlignment="1">
      <alignment horizontal="center"/>
    </xf>
    <xf numFmtId="0" fontId="17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/>
    <xf numFmtId="0" fontId="20" fillId="0" borderId="0" xfId="0" applyFont="1" applyAlignment="1">
      <alignment wrapText="1"/>
    </xf>
    <xf numFmtId="0" fontId="10" fillId="0" borderId="0" xfId="0" applyFont="1"/>
    <xf numFmtId="0" fontId="10" fillId="0" borderId="1" xfId="0" applyFont="1" applyBorder="1"/>
    <xf numFmtId="0" fontId="10" fillId="0" borderId="0" xfId="0" applyFont="1" applyBorder="1"/>
    <xf numFmtId="0" fontId="10" fillId="0" borderId="2" xfId="0" applyFont="1" applyFill="1" applyBorder="1"/>
    <xf numFmtId="0" fontId="0" fillId="0" borderId="0" xfId="0" applyBorder="1"/>
    <xf numFmtId="0" fontId="10" fillId="0" borderId="1" xfId="0" applyNumberFormat="1" applyFont="1" applyBorder="1"/>
    <xf numFmtId="0" fontId="23" fillId="0" borderId="0" xfId="0" applyFont="1" applyAlignment="1">
      <alignment horizontal="center" vertical="top" wrapText="1"/>
    </xf>
    <xf numFmtId="0" fontId="0" fillId="0" borderId="0" xfId="0" applyAlignment="1"/>
    <xf numFmtId="0" fontId="24" fillId="0" borderId="0" xfId="0" applyFont="1"/>
    <xf numFmtId="0" fontId="25" fillId="0" borderId="0" xfId="0" applyFont="1"/>
    <xf numFmtId="0" fontId="27" fillId="0" borderId="1" xfId="0" applyFont="1" applyBorder="1"/>
    <xf numFmtId="0" fontId="27" fillId="0" borderId="1" xfId="0" quotePrefix="1" applyFont="1" applyBorder="1"/>
    <xf numFmtId="0" fontId="27" fillId="0" borderId="0" xfId="0" applyFont="1"/>
    <xf numFmtId="0" fontId="27" fillId="0" borderId="5" xfId="0" applyFont="1" applyBorder="1"/>
    <xf numFmtId="0" fontId="27" fillId="0" borderId="6" xfId="0" applyFont="1" applyBorder="1"/>
    <xf numFmtId="0" fontId="28" fillId="0" borderId="0" xfId="0" applyFont="1"/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7" fillId="3" borderId="11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2" fontId="26" fillId="0" borderId="9" xfId="0" applyNumberFormat="1" applyFont="1" applyBorder="1" applyAlignment="1">
      <alignment horizontal="center"/>
    </xf>
    <xf numFmtId="2" fontId="26" fillId="0" borderId="10" xfId="0" applyNumberFormat="1" applyFont="1" applyBorder="1" applyAlignment="1">
      <alignment horizontal="center"/>
    </xf>
    <xf numFmtId="2" fontId="26" fillId="0" borderId="8" xfId="0" applyNumberFormat="1" applyFont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27" fillId="3" borderId="4" xfId="0" applyFont="1" applyFill="1" applyBorder="1" applyAlignment="1">
      <alignment horizontal="center"/>
    </xf>
    <xf numFmtId="2" fontId="26" fillId="0" borderId="3" xfId="0" applyNumberFormat="1" applyFont="1" applyBorder="1" applyAlignment="1">
      <alignment horizontal="center"/>
    </xf>
    <xf numFmtId="2" fontId="26" fillId="0" borderId="4" xfId="0" applyNumberFormat="1" applyFont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0" fontId="10" fillId="0" borderId="0" xfId="0" applyFont="1" applyFill="1" applyBorder="1" applyAlignment="1">
      <alignment horizontal="left" wrapText="1"/>
    </xf>
    <xf numFmtId="0" fontId="23" fillId="0" borderId="0" xfId="0" applyFont="1" applyAlignment="1">
      <alignment horizontal="center" vertical="top" wrapText="1"/>
    </xf>
    <xf numFmtId="0" fontId="21" fillId="0" borderId="0" xfId="0" applyFont="1" applyAlignment="1">
      <alignment horizontal="center" wrapText="1"/>
    </xf>
    <xf numFmtId="0" fontId="20" fillId="0" borderId="0" xfId="0" applyFont="1" applyAlignment="1">
      <alignment horizontal="center" wrapText="1"/>
    </xf>
    <xf numFmtId="0" fontId="22" fillId="0" borderId="0" xfId="0" applyFont="1" applyAlignment="1">
      <alignment horizontal="center" wrapText="1"/>
    </xf>
    <xf numFmtId="0" fontId="23" fillId="0" borderId="0" xfId="0" applyFont="1" applyAlignment="1">
      <alignment horizontal="center" wrapText="1"/>
    </xf>
  </cellXfs>
  <cellStyles count="15">
    <cellStyle name="Normalny" xfId="0" builtinId="0"/>
    <cellStyle name="Normalny 10" xfId="9" xr:uid="{BCE3165C-9364-44AD-BDC7-EE03B847BD69}"/>
    <cellStyle name="Normalny 11" xfId="10" xr:uid="{3B043E74-1E7B-476E-827D-03AD4A6B700A}"/>
    <cellStyle name="Normalny 12" xfId="11" xr:uid="{702527F8-182D-4887-960A-A4C6B61E7A09}"/>
    <cellStyle name="Normalny 13" xfId="12" xr:uid="{4D282990-05E2-45E0-BAEC-FF38F2B1A0E8}"/>
    <cellStyle name="Normalny 14" xfId="13" xr:uid="{997394FE-4C87-4783-946E-B161A0F7FD1B}"/>
    <cellStyle name="Normalny 15" xfId="14" xr:uid="{F69211A7-8590-4564-9FC3-26CEDB95B030}"/>
    <cellStyle name="Normalny 2" xfId="1" xr:uid="{559DD576-F70C-477C-9059-B84FE9841454}"/>
    <cellStyle name="Normalny 3" xfId="2" xr:uid="{C4370084-ADF7-49A2-8B8C-E55352E1DF46}"/>
    <cellStyle name="Normalny 4" xfId="3" xr:uid="{0DA335CB-B3FC-4732-BADA-EF08F345CF5E}"/>
    <cellStyle name="Normalny 5" xfId="4" xr:uid="{DACA691A-30B1-44CA-8FF5-0DC3CC20C20A}"/>
    <cellStyle name="Normalny 6" xfId="5" xr:uid="{7D801A1C-9592-43AC-B983-0C2182B74876}"/>
    <cellStyle name="Normalny 7" xfId="6" xr:uid="{5A82C41C-04C0-41F1-8E12-CC733BBC0B3D}"/>
    <cellStyle name="Normalny 8" xfId="7" xr:uid="{DE8DC090-E667-4F19-8317-6139ED788994}"/>
    <cellStyle name="Normalny 9" xfId="8" xr:uid="{9B245057-9C86-44F9-AF08-A1877A08BCCF}"/>
  </cellStyles>
  <dxfs count="45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Wskaźniki</a:t>
            </a:r>
            <a:r>
              <a:rPr lang="pl-PL" baseline="0"/>
              <a:t> płynności w ujęciu statycznym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MENU!$B$67</c:f>
              <c:strCache>
                <c:ptCount val="1"/>
                <c:pt idx="0">
                  <c:v>Płynność natychmiastowa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MENU!$C$55:$E$55</c:f>
            </c:numRef>
          </c:cat>
          <c:val>
            <c:numRef>
              <c:f>(MENU!$C$70,MENU!$C$74,MENU!$C$78)</c:f>
              <c:numCache>
                <c:formatCode>0,00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9-4729-A72E-E6D2AC5A2C72}"/>
            </c:ext>
          </c:extLst>
        </c:ser>
        <c:ser>
          <c:idx val="1"/>
          <c:order val="1"/>
          <c:tx>
            <c:strRef>
              <c:f>MENU!$B$85</c:f>
              <c:strCache>
                <c:ptCount val="1"/>
                <c:pt idx="0">
                  <c:v>Płynność szybka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MENU!$C$55:$E$55</c:f>
            </c:numRef>
          </c:cat>
          <c:val>
            <c:numRef>
              <c:f>(MENU!$C$88,MENU!$C$92,MENU!$C$96)</c:f>
              <c:numCache>
                <c:formatCode>0,00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9-4729-A72E-E6D2AC5A2C72}"/>
            </c:ext>
          </c:extLst>
        </c:ser>
        <c:ser>
          <c:idx val="2"/>
          <c:order val="2"/>
          <c:tx>
            <c:strRef>
              <c:f>MENU!$B$104</c:f>
              <c:strCache>
                <c:ptCount val="1"/>
                <c:pt idx="0">
                  <c:v>Płynność bieżąca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MENU!$C$55:$E$55</c:f>
            </c:numRef>
          </c:cat>
          <c:val>
            <c:numRef>
              <c:f>(MENU!$C$107,MENU!$C$111,MENU!$C$115)</c:f>
              <c:numCache>
                <c:formatCode>0,00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9-4729-A72E-E6D2AC5A2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4613055"/>
        <c:axId val="1864616799"/>
      </c:barChart>
      <c:catAx>
        <c:axId val="1864613055"/>
        <c:scaling>
          <c:orientation val="minMax"/>
        </c:scaling>
        <c:delete val="0"/>
        <c:axPos val="b"/>
        <c:numFmt formatCode="Standardow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616799"/>
        <c:crosses val="autoZero"/>
        <c:auto val="1"/>
        <c:lblAlgn val="ctr"/>
        <c:lblOffset val="100"/>
        <c:noMultiLvlLbl val="0"/>
      </c:catAx>
      <c:valAx>
        <c:axId val="186461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4613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I$4" lockText="1" noThreeD="1"/>
</file>

<file path=xl/ctrlProps/ctrlProp2.xml><?xml version="1.0" encoding="utf-8"?>
<formControlPr xmlns="http://schemas.microsoft.com/office/spreadsheetml/2009/9/main" objectType="CheckBox" fmlaLink="$I$3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83820</xdr:rowOff>
        </xdr:from>
        <xdr:to>
          <xdr:col>6</xdr:col>
          <xdr:colOff>358140</xdr:colOff>
          <xdr:row>4</xdr:row>
          <xdr:rowOff>114300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Zmienne decyzyjne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</xdr:row>
          <xdr:rowOff>0</xdr:rowOff>
        </xdr:from>
        <xdr:to>
          <xdr:col>6</xdr:col>
          <xdr:colOff>358140</xdr:colOff>
          <xdr:row>2</xdr:row>
          <xdr:rowOff>175260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Bilans okresowy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8</xdr:col>
          <xdr:colOff>281940</xdr:colOff>
          <xdr:row>12</xdr:row>
          <xdr:rowOff>7620</xdr:rowOff>
        </xdr:to>
        <xdr:sp macro="" textlink="">
          <xdr:nvSpPr>
            <xdr:cNvPr id="1038" name="Przycisk_wczytywani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Wczytanie sprawozdań w formacie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2804160</xdr:colOff>
          <xdr:row>4</xdr:row>
          <xdr:rowOff>15240</xdr:rowOff>
        </xdr:from>
        <xdr:to>
          <xdr:col>2</xdr:col>
          <xdr:colOff>922020</xdr:colOff>
          <xdr:row>6</xdr:row>
          <xdr:rowOff>7620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Wybierz pliki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159</xdr:row>
          <xdr:rowOff>15240</xdr:rowOff>
        </xdr:from>
        <xdr:to>
          <xdr:col>9</xdr:col>
          <xdr:colOff>1310640</xdr:colOff>
          <xdr:row>161</xdr:row>
          <xdr:rowOff>53340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Wykres wskaźników płynności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202153</xdr:colOff>
      <xdr:row>160</xdr:row>
      <xdr:rowOff>168985</xdr:rowOff>
    </xdr:from>
    <xdr:to>
      <xdr:col>6</xdr:col>
      <xdr:colOff>560742</xdr:colOff>
      <xdr:row>179</xdr:row>
      <xdr:rowOff>107129</xdr:rowOff>
    </xdr:to>
    <xdr:graphicFrame macro="">
      <xdr:nvGraphicFramePr>
        <xdr:cNvPr id="2" name="Wykres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64</xdr:row>
          <xdr:rowOff>106680</xdr:rowOff>
        </xdr:from>
        <xdr:to>
          <xdr:col>8</xdr:col>
          <xdr:colOff>464820</xdr:colOff>
          <xdr:row>68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Schowaj wszystko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69</xdr:row>
          <xdr:rowOff>7620</xdr:rowOff>
        </xdr:from>
        <xdr:to>
          <xdr:col>8</xdr:col>
          <xdr:colOff>449580</xdr:colOff>
          <xdr:row>72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Pokaż wskaźniki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</xdr:colOff>
          <xdr:row>73</xdr:row>
          <xdr:rowOff>91440</xdr:rowOff>
        </xdr:from>
        <xdr:to>
          <xdr:col>8</xdr:col>
          <xdr:colOff>441960</xdr:colOff>
          <xdr:row>76</xdr:row>
          <xdr:rowOff>129540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Pokaż ocenę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N158"/>
  <sheetViews>
    <sheetView tabSelected="1" zoomScaleNormal="100" workbookViewId="0">
      <selection activeCell="B3" sqref="B3"/>
    </sheetView>
  </sheetViews>
  <sheetFormatPr defaultRowHeight="13.8"/>
  <cols>
    <col min="2" max="2" width="36.8984375" customWidth="1"/>
    <col min="3" max="8" width="12.69921875" customWidth="1"/>
    <col min="9" max="9" width="11.59765625" customWidth="1"/>
    <col min="10" max="10" width="18.5" customWidth="1"/>
    <col min="11" max="11" width="11.69921875" customWidth="1"/>
  </cols>
  <sheetData>
    <row r="2" spans="2:12" ht="17.399999999999999">
      <c r="B2" s="1" t="s">
        <v>1</v>
      </c>
      <c r="I2" t="s">
        <v>3</v>
      </c>
      <c r="J2" t="s">
        <v>2</v>
      </c>
      <c r="K2" t="s">
        <v>4</v>
      </c>
      <c r="L2" t="s">
        <v>5</v>
      </c>
    </row>
    <row r="3" spans="2:12" ht="17.399999999999999">
      <c r="B3" s="2" t="s">
        <v>7</v>
      </c>
      <c r="I3" t="b">
        <v>0</v>
      </c>
      <c r="J3" s="3" t="s">
        <v>8</v>
      </c>
      <c r="K3" t="b">
        <v>1</v>
      </c>
      <c r="L3" t="s">
        <v>9</v>
      </c>
    </row>
    <row r="4" spans="2:12">
      <c r="I4" t="b">
        <v>0</v>
      </c>
      <c r="J4" s="3" t="s">
        <v>56</v>
      </c>
      <c r="K4" t="b">
        <v>1</v>
      </c>
      <c r="L4" t="s">
        <v>55</v>
      </c>
    </row>
    <row r="5" spans="2:12">
      <c r="J5" s="3"/>
    </row>
    <row r="7" spans="2:12">
      <c r="F7" t="s">
        <v>0</v>
      </c>
    </row>
    <row r="14" spans="2:12">
      <c r="G14" s="24"/>
      <c r="H14" s="24"/>
      <c r="I14" s="24"/>
      <c r="J14" s="24"/>
    </row>
    <row r="15" spans="2:12">
      <c r="G15" s="24"/>
      <c r="H15" s="24" t="s">
        <v>64</v>
      </c>
      <c r="I15" s="25" t="b">
        <f>I3</f>
        <v>0</v>
      </c>
      <c r="J15" s="24"/>
    </row>
    <row r="16" spans="2:12">
      <c r="D16" s="5"/>
      <c r="E16" s="5"/>
      <c r="F16" s="5"/>
      <c r="G16" s="26"/>
      <c r="H16" s="24"/>
      <c r="I16" s="24"/>
      <c r="J16" s="24"/>
    </row>
    <row r="17" spans="2:10">
      <c r="C17" s="6"/>
      <c r="D17" s="5"/>
      <c r="E17" s="5"/>
      <c r="F17" s="5"/>
      <c r="G17" s="26"/>
      <c r="H17" s="24"/>
      <c r="I17" s="24"/>
      <c r="J17" s="24"/>
    </row>
    <row r="18" spans="2:10">
      <c r="D18" s="5"/>
      <c r="E18" s="5"/>
      <c r="F18" s="5"/>
      <c r="G18" s="26"/>
      <c r="H18" s="24"/>
      <c r="I18" s="24"/>
      <c r="J18" s="24"/>
    </row>
    <row r="24" spans="2:10" ht="13.2" customHeight="1">
      <c r="B24" s="45" t="s">
        <v>24</v>
      </c>
      <c r="C24" s="46" t="s">
        <v>44</v>
      </c>
      <c r="D24" s="46"/>
      <c r="E24" s="46"/>
      <c r="F24" s="46"/>
      <c r="G24" s="46"/>
      <c r="H24" s="46"/>
      <c r="I24" s="46"/>
    </row>
    <row r="25" spans="2:10" ht="13.2" customHeight="1">
      <c r="B25" s="45"/>
      <c r="C25" s="46"/>
      <c r="D25" s="46"/>
      <c r="E25" s="46"/>
      <c r="F25" s="46"/>
      <c r="G25" s="46"/>
      <c r="H25" s="46"/>
      <c r="I25" s="46"/>
    </row>
    <row r="26" spans="2:10" ht="13.2" customHeight="1">
      <c r="B26" s="8"/>
      <c r="C26" s="46"/>
      <c r="D26" s="46"/>
      <c r="E26" s="46"/>
      <c r="F26" s="46"/>
      <c r="G26" s="46"/>
      <c r="H26" s="46"/>
      <c r="I26" s="46"/>
    </row>
    <row r="27" spans="2:10" ht="13.2" customHeight="1">
      <c r="B27" s="8"/>
      <c r="C27" s="46"/>
      <c r="D27" s="46"/>
      <c r="E27" s="46"/>
      <c r="F27" s="46"/>
      <c r="G27" s="46"/>
      <c r="H27" s="46"/>
      <c r="I27" s="46"/>
    </row>
    <row r="28" spans="2:10" ht="13.2" customHeight="1">
      <c r="B28" s="8"/>
    </row>
    <row r="29" spans="2:10" ht="13.2" customHeight="1">
      <c r="B29" s="44" t="s">
        <v>45</v>
      </c>
      <c r="C29" s="43" t="s">
        <v>48</v>
      </c>
      <c r="D29" s="43"/>
      <c r="E29" s="43"/>
      <c r="F29" s="43"/>
      <c r="G29" s="43"/>
      <c r="H29" s="43"/>
      <c r="I29" s="43"/>
    </row>
    <row r="30" spans="2:10" ht="13.2" customHeight="1">
      <c r="B30" s="45"/>
      <c r="C30" s="43"/>
      <c r="D30" s="43"/>
      <c r="E30" s="43"/>
      <c r="F30" s="43"/>
      <c r="G30" s="43"/>
      <c r="H30" s="43"/>
      <c r="I30" s="43"/>
    </row>
    <row r="31" spans="2:10">
      <c r="C31" s="43"/>
      <c r="D31" s="43"/>
      <c r="E31" s="43"/>
      <c r="F31" s="43"/>
      <c r="G31" s="43"/>
      <c r="H31" s="43"/>
      <c r="I31" s="43"/>
    </row>
    <row r="32" spans="2:10">
      <c r="C32" s="43"/>
      <c r="D32" s="43"/>
      <c r="E32" s="43"/>
      <c r="F32" s="43"/>
      <c r="G32" s="43"/>
      <c r="H32" s="43"/>
      <c r="I32" s="43"/>
    </row>
    <row r="34" spans="2:14">
      <c r="B34" s="44" t="s">
        <v>49</v>
      </c>
      <c r="C34" s="43" t="s">
        <v>50</v>
      </c>
      <c r="D34" s="43"/>
      <c r="E34" s="43"/>
      <c r="F34" s="43"/>
      <c r="G34" s="43"/>
      <c r="H34" s="43"/>
      <c r="I34" s="43"/>
    </row>
    <row r="35" spans="2:14">
      <c r="B35" s="45"/>
      <c r="C35" s="43"/>
      <c r="D35" s="43"/>
      <c r="E35" s="43"/>
      <c r="F35" s="43"/>
      <c r="G35" s="43"/>
      <c r="H35" s="43"/>
      <c r="I35" s="43"/>
    </row>
    <row r="36" spans="2:14">
      <c r="C36" s="43"/>
      <c r="D36" s="43"/>
      <c r="E36" s="43"/>
      <c r="F36" s="43"/>
      <c r="G36" s="43"/>
      <c r="H36" s="43"/>
      <c r="I36" s="43"/>
    </row>
    <row r="37" spans="2:14">
      <c r="C37" s="43"/>
      <c r="D37" s="43"/>
      <c r="E37" s="43"/>
      <c r="F37" s="43"/>
      <c r="G37" s="43"/>
      <c r="H37" s="43"/>
      <c r="I37" s="43"/>
    </row>
    <row r="38" spans="2:14">
      <c r="C38" s="15"/>
      <c r="D38" s="15"/>
      <c r="E38" s="15"/>
      <c r="F38" s="15"/>
      <c r="G38" s="15"/>
      <c r="H38" s="15"/>
      <c r="I38" s="15"/>
    </row>
    <row r="39" spans="2:14" ht="13.8" customHeight="1">
      <c r="B39" s="16" t="s">
        <v>41</v>
      </c>
      <c r="C39" s="43" t="s">
        <v>58</v>
      </c>
      <c r="D39" s="43"/>
      <c r="E39" s="43"/>
      <c r="F39" s="43"/>
      <c r="G39" s="43"/>
      <c r="H39" s="43"/>
      <c r="I39" s="43"/>
    </row>
    <row r="40" spans="2:14">
      <c r="B40" s="16"/>
      <c r="C40" s="43"/>
      <c r="D40" s="43"/>
      <c r="E40" s="43"/>
      <c r="F40" s="43"/>
      <c r="G40" s="43"/>
      <c r="H40" s="43"/>
      <c r="I40" s="43"/>
    </row>
    <row r="41" spans="2:14">
      <c r="C41" s="43"/>
      <c r="D41" s="43"/>
      <c r="E41" s="43"/>
      <c r="F41" s="43"/>
      <c r="G41" s="43"/>
      <c r="H41" s="43"/>
      <c r="I41" s="43"/>
    </row>
    <row r="43" spans="2:14">
      <c r="B43" t="s">
        <v>42</v>
      </c>
      <c r="C43" s="47" t="s">
        <v>57</v>
      </c>
      <c r="D43" s="47"/>
      <c r="E43" s="47"/>
      <c r="F43" s="47"/>
      <c r="G43" s="47"/>
      <c r="H43" s="47"/>
      <c r="I43" s="47"/>
    </row>
    <row r="44" spans="2:14">
      <c r="C44" s="47"/>
      <c r="D44" s="47"/>
      <c r="E44" s="47"/>
      <c r="F44" s="47"/>
      <c r="G44" s="47"/>
      <c r="H44" s="47"/>
      <c r="I44" s="47"/>
    </row>
    <row r="46" spans="2:14">
      <c r="K46" s="13"/>
    </row>
    <row r="47" spans="2:14" ht="14.4">
      <c r="B47" s="10" t="s">
        <v>13</v>
      </c>
      <c r="C47" s="10" t="s">
        <v>14</v>
      </c>
      <c r="D47" s="10" t="s">
        <v>16</v>
      </c>
      <c r="E47" s="10" t="s">
        <v>15</v>
      </c>
      <c r="F47" s="10" t="s">
        <v>17</v>
      </c>
      <c r="G47" s="10" t="s">
        <v>46</v>
      </c>
      <c r="H47" s="10" t="s">
        <v>18</v>
      </c>
      <c r="I47" s="10" t="s">
        <v>19</v>
      </c>
      <c r="J47" s="12"/>
      <c r="K47" s="42" t="s">
        <v>47</v>
      </c>
      <c r="L47" s="42"/>
      <c r="M47" s="42"/>
      <c r="N47" s="42"/>
    </row>
    <row r="48" spans="2:14" ht="14.4">
      <c r="B48" s="10" t="s">
        <v>10</v>
      </c>
      <c r="C48" s="10" t="s">
        <v>22</v>
      </c>
      <c r="D48" s="10" t="s">
        <v>25</v>
      </c>
      <c r="E48" s="10" t="s">
        <v>23</v>
      </c>
      <c r="F48" s="10" t="s">
        <v>25</v>
      </c>
      <c r="G48" s="10" t="s">
        <v>43</v>
      </c>
      <c r="H48" s="14">
        <v>0.22</v>
      </c>
      <c r="I48" s="14">
        <v>0.28000000000000003</v>
      </c>
      <c r="K48" s="42"/>
      <c r="L48" s="42"/>
      <c r="M48" s="42"/>
      <c r="N48" s="42"/>
    </row>
    <row r="49" spans="2:9" ht="14.4">
      <c r="B49" s="10" t="s">
        <v>11</v>
      </c>
      <c r="C49" s="10" t="s">
        <v>26</v>
      </c>
      <c r="D49" s="10" t="s">
        <v>25</v>
      </c>
      <c r="E49" s="10" t="s">
        <v>23</v>
      </c>
      <c r="F49" s="10" t="s">
        <v>25</v>
      </c>
      <c r="G49" s="10" t="s">
        <v>43</v>
      </c>
      <c r="H49" s="14">
        <v>1.05</v>
      </c>
      <c r="I49" s="14">
        <v>1.2</v>
      </c>
    </row>
    <row r="50" spans="2:9" ht="14.4">
      <c r="B50" s="10" t="s">
        <v>12</v>
      </c>
      <c r="C50" s="10" t="s">
        <v>27</v>
      </c>
      <c r="D50" s="10" t="s">
        <v>25</v>
      </c>
      <c r="E50" s="10" t="s">
        <v>23</v>
      </c>
      <c r="F50" s="10" t="s">
        <v>25</v>
      </c>
      <c r="G50" s="10" t="s">
        <v>43</v>
      </c>
      <c r="H50" s="14">
        <v>1.2</v>
      </c>
      <c r="I50" s="14">
        <v>1.25</v>
      </c>
    </row>
    <row r="51" spans="2:9" ht="14.4">
      <c r="B51" s="10" t="s">
        <v>20</v>
      </c>
      <c r="C51" s="10" t="s">
        <v>52</v>
      </c>
      <c r="D51" s="10" t="s">
        <v>25</v>
      </c>
      <c r="E51" s="10" t="s">
        <v>53</v>
      </c>
      <c r="F51" s="10" t="s">
        <v>25</v>
      </c>
      <c r="G51" s="10" t="s">
        <v>61</v>
      </c>
      <c r="H51" s="7">
        <v>0.5</v>
      </c>
      <c r="I51" s="7">
        <v>5</v>
      </c>
    </row>
    <row r="52" spans="2:9" ht="14.4">
      <c r="B52" s="10" t="s">
        <v>21</v>
      </c>
      <c r="C52" s="10" t="s">
        <v>52</v>
      </c>
      <c r="D52" s="10" t="s">
        <v>25</v>
      </c>
      <c r="E52" s="10" t="s">
        <v>54</v>
      </c>
      <c r="F52" s="10" t="s">
        <v>25</v>
      </c>
      <c r="G52" s="10" t="s">
        <v>43</v>
      </c>
      <c r="H52" s="10">
        <v>0.45</v>
      </c>
      <c r="I52" s="10">
        <v>0.55000000000000004</v>
      </c>
    </row>
    <row r="53" spans="2:9" ht="14.4">
      <c r="B53" s="11"/>
      <c r="C53" s="11"/>
      <c r="D53" s="11"/>
      <c r="E53" s="11"/>
      <c r="F53" s="11"/>
      <c r="G53" s="11"/>
      <c r="H53" s="11"/>
      <c r="I53" s="11"/>
    </row>
    <row r="54" spans="2:9" ht="14.4">
      <c r="B54" s="11"/>
      <c r="C54" s="27" t="s">
        <v>51</v>
      </c>
      <c r="D54" s="27"/>
      <c r="E54" s="27"/>
      <c r="F54" s="11"/>
      <c r="G54" s="11"/>
      <c r="H54" s="11"/>
      <c r="I54" s="11"/>
    </row>
    <row r="55" spans="2:9" ht="14.4">
      <c r="B55" s="11"/>
      <c r="C55" s="10" t="str">
        <f ca="1">IF(MENU!I15,INDIRECT(ADDRESS(6,2,1,TRUE,MENU!L3))*1,"")</f>
        <v/>
      </c>
      <c r="D55" s="10" t="str">
        <f ca="1">IF(MENU!I15,INDIRECT(ADDRESS(6,3,1,TRUE,MENU!L3))*1,"")</f>
        <v/>
      </c>
      <c r="E55" s="10" t="str">
        <f ca="1">IF(MENU!$I$15,INDIRECT(ADDRESS(6,4,1,TRUE,MENU!$L$3))*1,"")</f>
        <v/>
      </c>
      <c r="F55" s="11"/>
      <c r="G55" s="11"/>
      <c r="H55" s="11"/>
      <c r="I55" s="11"/>
    </row>
    <row r="56" spans="2:9" ht="14.4">
      <c r="B56" s="10" t="s">
        <v>28</v>
      </c>
      <c r="C56" s="10" t="str">
        <f ca="1">IF(MENU!I15,INDIRECT(ADDRESS(23,2,1,TRUE,MENU!L3))*1,"")</f>
        <v/>
      </c>
      <c r="D56" s="10" t="str">
        <f ca="1">IF(MENU!I15,INDIRECT(ADDRESS(23,3,1,TRUE,MENU!L3))*1,"")</f>
        <v/>
      </c>
      <c r="E56" s="10" t="str">
        <f ca="1">IF(MENU!I15,INDIRECT(ADDRESS(23,4,1,TRUE,MENU!L3))*1,"")</f>
        <v/>
      </c>
      <c r="F56" s="11"/>
      <c r="G56" s="11"/>
      <c r="H56" s="11"/>
      <c r="I56" s="11"/>
    </row>
    <row r="57" spans="2:9" ht="14.4">
      <c r="B57" s="10" t="s">
        <v>29</v>
      </c>
      <c r="C57" s="10" t="str">
        <f ca="1">IF(MENU!I15,INDIRECT(ADDRESS(40,2,1,TRUE,MENU!L3))*1,"")</f>
        <v/>
      </c>
      <c r="D57" s="10" t="str">
        <f ca="1">IF(MENU!I15,INDIRECT(ADDRESS(40,3,1,TRUE,MENU!L3))*1,"")</f>
        <v/>
      </c>
      <c r="E57" s="10" t="str">
        <f ca="1">IF(MENU!I15,INDIRECT(ADDRESS(40,4,1,TRUE,MENU!L3))*1,"")</f>
        <v/>
      </c>
      <c r="F57" s="11"/>
      <c r="G57" s="11"/>
      <c r="H57" s="11"/>
      <c r="I57" s="11"/>
    </row>
    <row r="58" spans="2:9" ht="14.4">
      <c r="B58" s="10" t="s">
        <v>30</v>
      </c>
      <c r="C58" s="10" t="str">
        <f ca="1">IF(MENU!I15,INDIRECT(ADDRESS(20,2,1,TRUE,MENU!L3))*1,"")</f>
        <v/>
      </c>
      <c r="D58" s="10" t="str">
        <f ca="1">IF(MENU!I15,INDIRECT(ADDRESS(20,3,1,TRUE,MENU!L3))*1,"")</f>
        <v/>
      </c>
      <c r="E58" s="10" t="str">
        <f ca="1">IF(MENU!I15,INDIRECT(ADDRESS(20,4,1,TRUE,MENU!L3))*1,"")</f>
        <v/>
      </c>
      <c r="F58" s="11"/>
      <c r="G58" s="11"/>
      <c r="H58" s="11"/>
      <c r="I58" s="11"/>
    </row>
    <row r="59" spans="2:9" ht="14.4">
      <c r="B59" s="10" t="s">
        <v>31</v>
      </c>
      <c r="C59" s="10" t="str">
        <f ca="1">IF(MENU!I15,INDIRECT(ADDRESS(15,2,1,TRUE,MENU!L3))*1,"")</f>
        <v/>
      </c>
      <c r="D59" s="10" t="str">
        <f ca="1">IF(MENU!I15,INDIRECT(ADDRESS(15,3,1,TRUE,MENU!L3))*1,"")</f>
        <v/>
      </c>
      <c r="E59" s="10" t="str">
        <f ca="1">IF(MENU!I15,INDIRECT(ADDRESS(15,4,1,TRUE,MENU!L3))*1,"")</f>
        <v/>
      </c>
      <c r="F59" s="11"/>
      <c r="G59" s="11"/>
      <c r="H59" s="11"/>
      <c r="I59" s="11"/>
    </row>
    <row r="60" spans="2:9" ht="14.4">
      <c r="B60" s="10" t="s">
        <v>32</v>
      </c>
      <c r="C60" s="10" t="str">
        <f ca="1">IF(MENU!I15,INDIRECT(ADDRESS(26,2,1,TRUE,MENU!L3))*1,"")</f>
        <v/>
      </c>
      <c r="D60" s="10" t="str">
        <f ca="1">IF(MENU!I15,INDIRECT(ADDRESS(26,3,1,TRUE,MENU!L3))*1,"")</f>
        <v/>
      </c>
      <c r="E60" s="10" t="str">
        <f ca="1">IF(MENU!I15,INDIRECT(ADDRESS(26,4,1,TRUE,MENU!L3))*1,"")</f>
        <v/>
      </c>
      <c r="F60" s="11"/>
      <c r="G60" s="11"/>
      <c r="H60" s="11"/>
      <c r="I60" s="11"/>
    </row>
    <row r="61" spans="2:9" ht="14.4">
      <c r="B61" s="10" t="s">
        <v>40</v>
      </c>
      <c r="C61" s="10" t="str">
        <f ca="1">IF(MENU!I15,INDIRECT(ADDRESS(25,2,1,TRUE,MENU!L3))*1,"")</f>
        <v/>
      </c>
      <c r="D61" s="10" t="str">
        <f ca="1">IF(MENU!I15,INDIRECT(ADDRESS(25,3,1,TRUE,MENU!L3))*1,"")</f>
        <v/>
      </c>
      <c r="E61" s="10" t="str">
        <f ca="1">IF(MENU!I15,INDIRECT(ADDRESS(25,4,1,TRUE,MENU!L3))*1,"")</f>
        <v/>
      </c>
      <c r="F61" s="11"/>
      <c r="G61" s="11"/>
      <c r="H61" s="11"/>
      <c r="I61" s="11"/>
    </row>
    <row r="62" spans="2:9" ht="14.4">
      <c r="C62" s="11"/>
      <c r="D62" s="11"/>
      <c r="E62" s="11"/>
      <c r="F62" s="11"/>
      <c r="G62" s="11"/>
      <c r="H62" s="11"/>
      <c r="I62" s="11"/>
    </row>
    <row r="63" spans="2:9" ht="14.4">
      <c r="C63" s="11"/>
      <c r="D63" s="11"/>
      <c r="E63" s="11"/>
      <c r="F63" s="11"/>
      <c r="G63" s="11"/>
      <c r="H63" s="11"/>
      <c r="I63" s="11"/>
    </row>
    <row r="64" spans="2:9" ht="14.4">
      <c r="C64" s="11"/>
      <c r="D64" s="11"/>
      <c r="E64" s="11"/>
      <c r="F64" s="11"/>
      <c r="G64" s="11"/>
      <c r="H64" s="11"/>
      <c r="I64" s="11"/>
    </row>
    <row r="65" spans="2:9" ht="14.4">
      <c r="C65" s="9"/>
      <c r="D65" s="9"/>
      <c r="E65" s="9"/>
      <c r="F65" s="9"/>
      <c r="G65" s="9"/>
      <c r="H65" s="9"/>
      <c r="I65" s="9"/>
    </row>
    <row r="66" spans="2:9" ht="14.4">
      <c r="B66" s="9"/>
      <c r="C66" s="17"/>
      <c r="D66" s="17"/>
      <c r="E66" s="17"/>
      <c r="F66" s="17"/>
      <c r="G66" s="9"/>
      <c r="H66" s="9"/>
      <c r="I66" s="9"/>
    </row>
    <row r="67" spans="2:9">
      <c r="B67" s="13" t="s">
        <v>10</v>
      </c>
      <c r="C67" s="30" t="str">
        <f ca="1">C55</f>
        <v/>
      </c>
      <c r="D67" s="30"/>
      <c r="E67" s="18" t="s">
        <v>33</v>
      </c>
      <c r="F67" s="18"/>
    </row>
    <row r="68" spans="2:9">
      <c r="B68" s="13"/>
      <c r="C68" s="19" t="s">
        <v>14</v>
      </c>
      <c r="D68" s="19" t="s">
        <v>15</v>
      </c>
      <c r="E68" s="18"/>
      <c r="F68" s="18"/>
    </row>
    <row r="69" spans="2:9">
      <c r="C69" s="20" t="str">
        <f ca="1">C56</f>
        <v/>
      </c>
      <c r="D69" s="19" t="str">
        <f ca="1">C57</f>
        <v/>
      </c>
      <c r="E69" s="18"/>
      <c r="F69" s="18"/>
    </row>
    <row r="70" spans="2:9" ht="14.4" thickBot="1">
      <c r="B70" s="13"/>
      <c r="C70" s="33" t="str">
        <f>IF(I15,C69/D69," ")</f>
        <v xml:space="preserve"> </v>
      </c>
      <c r="D70" s="34"/>
      <c r="E70" s="18" t="str">
        <f>IF(C70&lt;H48,CONCATENATE(Słownik!A8,", ",Słownik!A10),IF(C70&gt;I48,CONCATENATE(Słownik!A8,", ",Słownik!A9),Słownik!A7))</f>
        <v>źle, nadpłynność</v>
      </c>
      <c r="F70" s="18"/>
    </row>
    <row r="71" spans="2:9" ht="14.4" thickTop="1">
      <c r="B71" s="13"/>
      <c r="C71" s="32" t="str">
        <f ca="1">D55</f>
        <v/>
      </c>
      <c r="D71" s="32"/>
      <c r="E71" s="18"/>
      <c r="F71" s="18"/>
    </row>
    <row r="72" spans="2:9">
      <c r="B72" s="13"/>
      <c r="C72" s="19" t="s">
        <v>14</v>
      </c>
      <c r="D72" s="19" t="s">
        <v>15</v>
      </c>
      <c r="E72" s="18"/>
      <c r="F72" s="18"/>
    </row>
    <row r="73" spans="2:9">
      <c r="B73" s="13"/>
      <c r="C73" s="19" t="str">
        <f ca="1">D56</f>
        <v/>
      </c>
      <c r="D73" s="19" t="str">
        <f ca="1">D57</f>
        <v/>
      </c>
      <c r="E73" s="18"/>
      <c r="F73" s="18"/>
    </row>
    <row r="74" spans="2:9" ht="14.4" thickBot="1">
      <c r="B74" s="13"/>
      <c r="C74" s="35" t="str">
        <f>IF(I15,C73/D73," ")</f>
        <v xml:space="preserve"> </v>
      </c>
      <c r="D74" s="35"/>
      <c r="E74" s="18" t="str">
        <f>IF(C74&lt;H48,CONCATENATE(Słownik!A8,", ",Słownik!A10),IF(C74&gt;I48,CONCATENATE(Słownik!A8,", ",Słownik!A9),Słownik!A7))</f>
        <v>źle, nadpłynność</v>
      </c>
      <c r="F74" s="18"/>
    </row>
    <row r="75" spans="2:9" ht="14.4" thickTop="1">
      <c r="B75" s="13"/>
      <c r="C75" s="28" t="str">
        <f ca="1">E55</f>
        <v/>
      </c>
      <c r="D75" s="29"/>
      <c r="E75" s="18"/>
      <c r="F75" s="18"/>
    </row>
    <row r="76" spans="2:9">
      <c r="B76" s="13"/>
      <c r="C76" s="19" t="s">
        <v>14</v>
      </c>
      <c r="D76" s="19" t="s">
        <v>15</v>
      </c>
      <c r="E76" s="18"/>
      <c r="F76" s="18"/>
    </row>
    <row r="77" spans="2:9">
      <c r="B77" s="13"/>
      <c r="C77" s="19" t="str">
        <f ca="1">E56</f>
        <v/>
      </c>
      <c r="D77" s="19" t="str">
        <f ca="1">E57</f>
        <v/>
      </c>
      <c r="E77" s="18"/>
      <c r="F77" s="18"/>
    </row>
    <row r="78" spans="2:9" ht="14.4" thickBot="1">
      <c r="B78" s="13"/>
      <c r="C78" s="33" t="str">
        <f>IF(I15,C77/D77," ")</f>
        <v xml:space="preserve"> </v>
      </c>
      <c r="D78" s="34"/>
      <c r="E78" s="18" t="str">
        <f>IF(C78&lt;H48,CONCATENATE(Słownik!A8,", ",Słownik!A10),IF(C78&gt;I48,CONCATENATE(Słownik!A8,", ",Słownik!A9),Słownik!A7))</f>
        <v>źle, nadpłynność</v>
      </c>
      <c r="F78" s="18"/>
    </row>
    <row r="79" spans="2:9" ht="14.4" thickTop="1">
      <c r="B79" s="13"/>
      <c r="C79" s="28" t="str">
        <f ca="1">CONCATENATE("Dynamika ",C67,"/",C71)</f>
        <v>Dynamika /</v>
      </c>
      <c r="D79" s="29"/>
      <c r="E79" s="18"/>
      <c r="F79" s="18"/>
    </row>
    <row r="80" spans="2:9">
      <c r="B80" s="13"/>
      <c r="C80" s="31" t="str">
        <f>IF(I15,C74-C70," ")</f>
        <v xml:space="preserve"> </v>
      </c>
      <c r="D80" s="31"/>
      <c r="E80" s="18" t="str">
        <f>IF(C80&gt;0,Słownik!$A$3,IF(C80=0,Słownik!$A$4,Słownik!$A$5))</f>
        <v>wzrost</v>
      </c>
      <c r="F80" s="18" t="str">
        <f>IF(E80=Słownik!$A$3,IF(C70&lt;H48,Słownik!$A$7,Słownik!$A$8),IF(E80=Słownik!$A$4,IF(C70&gt;H48,Słownik!$A$7,Słownik!$A$8),IF(C70&gt;I48,Słownik!$A$7,Słownik!$A$8)))</f>
        <v>źle</v>
      </c>
    </row>
    <row r="81" spans="2:6">
      <c r="B81" s="13"/>
      <c r="C81" s="30" t="str">
        <f ca="1">CONCATENATE("Dynamika ",C71,"/",C75)</f>
        <v>Dynamika /</v>
      </c>
      <c r="D81" s="30"/>
      <c r="E81" s="18"/>
      <c r="F81" s="18"/>
    </row>
    <row r="82" spans="2:6">
      <c r="B82" s="13"/>
      <c r="C82" s="31" t="str">
        <f>IF(I15,C78-C74," ")</f>
        <v xml:space="preserve"> </v>
      </c>
      <c r="D82" s="31"/>
      <c r="E82" s="18" t="str">
        <f>IF(C82&gt;0,Słownik!A3,IF(C82=0,Słownik!A4,Słownik!A5))</f>
        <v>wzrost</v>
      </c>
      <c r="F82" s="18" t="str">
        <f>IF(E82=Słownik!$A$3,IF(C74&lt;H48,Słownik!$A$7,Słownik!$A$8),IF(E82=Słownik!$A$4,IF(C74&gt;H48,Słownik!$A$7,Słownik!$A$8),IF(C74&gt;I48,Słownik!$A$7,Słownik!$A$8)))</f>
        <v>źle</v>
      </c>
    </row>
    <row r="83" spans="2:6">
      <c r="C83" s="21"/>
      <c r="D83" s="21"/>
      <c r="E83" s="18"/>
      <c r="F83" s="18"/>
    </row>
    <row r="84" spans="2:6">
      <c r="C84" s="21"/>
      <c r="D84" s="21"/>
      <c r="E84" s="18"/>
      <c r="F84" s="18"/>
    </row>
    <row r="85" spans="2:6">
      <c r="B85" t="s">
        <v>11</v>
      </c>
      <c r="C85" s="36" t="str">
        <f ca="1">C55</f>
        <v/>
      </c>
      <c r="D85" s="37"/>
      <c r="E85" s="18" t="s">
        <v>33</v>
      </c>
      <c r="F85" s="18"/>
    </row>
    <row r="86" spans="2:6">
      <c r="C86" s="22" t="s">
        <v>14</v>
      </c>
      <c r="D86" s="23" t="s">
        <v>15</v>
      </c>
      <c r="E86" s="18"/>
      <c r="F86" s="18"/>
    </row>
    <row r="87" spans="2:6">
      <c r="C87" s="22" t="str">
        <f>IF(I15,C58+C61," ")</f>
        <v xml:space="preserve"> </v>
      </c>
      <c r="D87" s="23" t="str">
        <f ca="1">C57</f>
        <v/>
      </c>
      <c r="E87" s="18"/>
      <c r="F87" s="18"/>
    </row>
    <row r="88" spans="2:6" ht="14.4" thickBot="1">
      <c r="C88" s="33" t="str">
        <f>IF(I15,C87/D87," ")</f>
        <v xml:space="preserve"> </v>
      </c>
      <c r="D88" s="34"/>
      <c r="E88" s="18" t="str">
        <f>IF(C88&lt;H49,CONCATENATE(Słownik!$A$8,", ",Słownik!$A$10),IF(C88&gt;I49,CONCATENATE(Słownik!$A$8,", ",Słownik!$A$9),Słownik!$A$7))</f>
        <v>źle, nadpłynność</v>
      </c>
      <c r="F88" s="18"/>
    </row>
    <row r="89" spans="2:6" ht="14.4" thickTop="1">
      <c r="C89" s="28" t="str">
        <f ca="1">C71</f>
        <v/>
      </c>
      <c r="D89" s="29"/>
      <c r="E89" s="18"/>
      <c r="F89" s="18"/>
    </row>
    <row r="90" spans="2:6">
      <c r="C90" s="22" t="s">
        <v>14</v>
      </c>
      <c r="D90" s="23" t="s">
        <v>15</v>
      </c>
      <c r="E90" s="18"/>
      <c r="F90" s="18"/>
    </row>
    <row r="91" spans="2:6">
      <c r="C91" s="22" t="str">
        <f>IF(I15,D58+D61," ")</f>
        <v xml:space="preserve"> </v>
      </c>
      <c r="D91" s="23" t="str">
        <f ca="1">D57</f>
        <v/>
      </c>
      <c r="E91" s="18"/>
      <c r="F91" s="18"/>
    </row>
    <row r="92" spans="2:6" ht="14.4" thickBot="1">
      <c r="C92" s="33" t="str">
        <f>IF(I15,C91/D91," ")</f>
        <v xml:space="preserve"> </v>
      </c>
      <c r="D92" s="34"/>
      <c r="E92" s="18" t="str">
        <f>IF(C92&lt;H49,CONCATENATE(Słownik!$A$8,", ",Słownik!$A$10),IF(C92&gt;I49,CONCATENATE(Słownik!$A$8,", ",Słownik!$A$9),Słownik!$A$7))</f>
        <v>źle, nadpłynność</v>
      </c>
      <c r="F92" s="18"/>
    </row>
    <row r="93" spans="2:6" ht="14.4" thickTop="1">
      <c r="C93" s="28" t="str">
        <f ca="1">C75</f>
        <v/>
      </c>
      <c r="D93" s="29"/>
      <c r="E93" s="18"/>
      <c r="F93" s="18"/>
    </row>
    <row r="94" spans="2:6">
      <c r="C94" s="22" t="s">
        <v>14</v>
      </c>
      <c r="D94" s="23" t="s">
        <v>15</v>
      </c>
      <c r="E94" s="18"/>
      <c r="F94" s="18"/>
    </row>
    <row r="95" spans="2:6">
      <c r="C95" s="22" t="str">
        <f>IF(I15,E58+E61," ")</f>
        <v xml:space="preserve"> </v>
      </c>
      <c r="D95" s="23" t="str">
        <f ca="1">E57</f>
        <v/>
      </c>
      <c r="E95" s="18"/>
      <c r="F95" s="18"/>
    </row>
    <row r="96" spans="2:6" ht="14.4" thickBot="1">
      <c r="C96" s="33" t="str">
        <f>IF(I15,C95/D95," ")</f>
        <v xml:space="preserve"> </v>
      </c>
      <c r="D96" s="34"/>
      <c r="E96" s="18" t="str">
        <f>IF(C96&lt;H49,CONCATENATE(Słownik!$A$8,", ",Słownik!$A$10),IF(C96&gt;I49,CONCATENATE(Słownik!$A$8,", ",Słownik!$A$9),Słownik!$A$7))</f>
        <v>źle, nadpłynność</v>
      </c>
      <c r="F96" s="18"/>
    </row>
    <row r="97" spans="2:6" ht="14.4" thickTop="1">
      <c r="C97" s="28" t="str">
        <f ca="1">C79</f>
        <v>Dynamika /</v>
      </c>
      <c r="D97" s="29"/>
      <c r="E97" s="18"/>
      <c r="F97" s="18"/>
    </row>
    <row r="98" spans="2:6">
      <c r="C98" s="38" t="str">
        <f>IF(I15,C92-C88," ")</f>
        <v xml:space="preserve"> </v>
      </c>
      <c r="D98" s="39"/>
      <c r="E98" s="18" t="str">
        <f>IF(C98&gt;0,Słownik!$A$3,IF(C98=0,Słownik!$A$4,Słownik!$A$5))</f>
        <v>wzrost</v>
      </c>
      <c r="F98" s="18" t="str">
        <f>IF(E98=Słownik!$A$3,IF(C88&lt;H49,Słownik!$A$7,Słownik!$A$8),IF(E98=Słownik!$A$4,IF(C88&gt;H49,Słownik!$A$7,Słownik!$A$8),IF(C88&gt;I49,Słownik!$A$7,Słownik!$A$8)))</f>
        <v>źle</v>
      </c>
    </row>
    <row r="99" spans="2:6">
      <c r="C99" s="36" t="str">
        <f ca="1">C81</f>
        <v>Dynamika /</v>
      </c>
      <c r="D99" s="37"/>
      <c r="E99" s="18"/>
      <c r="F99" s="18"/>
    </row>
    <row r="100" spans="2:6">
      <c r="C100" s="38" t="str">
        <f>IF(I15,C96-C92," ")</f>
        <v xml:space="preserve"> </v>
      </c>
      <c r="D100" s="39"/>
      <c r="E100" s="18" t="str">
        <f>IF(C100&gt;0,Słownik!$A$3,IF(C100=0,Słownik!$A$4,Słownik!$A$5))</f>
        <v>wzrost</v>
      </c>
      <c r="F100" s="18" t="str">
        <f>IF(E100=Słownik!$A$3,IF(C92&lt;H49,Słownik!$A$7,Słownik!$A$8),IF(E100=Słownik!$A$4,IF(C92&gt;H49,Słownik!$A$7,Słownik!$A$8),IF(C92&gt;I49,Słownik!$A$7,Słownik!$A$8)))</f>
        <v>źle</v>
      </c>
    </row>
    <row r="101" spans="2:6">
      <c r="C101" s="21"/>
      <c r="D101" s="21"/>
      <c r="E101" s="18"/>
      <c r="F101" s="18"/>
    </row>
    <row r="102" spans="2:6">
      <c r="C102" s="21"/>
      <c r="D102" s="21"/>
      <c r="E102" s="18"/>
      <c r="F102" s="18"/>
    </row>
    <row r="103" spans="2:6">
      <c r="C103" s="21"/>
      <c r="D103" s="21"/>
      <c r="E103" s="18"/>
      <c r="F103" s="18"/>
    </row>
    <row r="104" spans="2:6">
      <c r="B104" t="s">
        <v>12</v>
      </c>
      <c r="C104" s="36" t="str">
        <f ca="1">C85</f>
        <v/>
      </c>
      <c r="D104" s="40"/>
      <c r="E104" s="18" t="s">
        <v>33</v>
      </c>
      <c r="F104" s="18"/>
    </row>
    <row r="105" spans="2:6">
      <c r="C105" s="22" t="s">
        <v>14</v>
      </c>
      <c r="D105" s="23" t="s">
        <v>15</v>
      </c>
      <c r="E105" s="18"/>
      <c r="F105" s="18"/>
    </row>
    <row r="106" spans="2:6">
      <c r="C106" s="22" t="str">
        <f ca="1">C59</f>
        <v/>
      </c>
      <c r="D106" s="23" t="str">
        <f ca="1">C57</f>
        <v/>
      </c>
      <c r="E106" s="18"/>
      <c r="F106" s="18"/>
    </row>
    <row r="107" spans="2:6">
      <c r="C107" s="38" t="str">
        <f>IF(I15,C106/D106," ")</f>
        <v xml:space="preserve"> </v>
      </c>
      <c r="D107" s="41"/>
      <c r="E107" s="18" t="str">
        <f>IF(C107&lt;H50,CONCATENATE(Słownik!$A$8,", ",Słownik!$A$10),IF(C107&gt;I50,CONCATENATE(Słownik!$A$8,", ",Słownik!$A$9),Słownik!$A$7))</f>
        <v>źle, nadpłynność</v>
      </c>
      <c r="F107" s="18"/>
    </row>
    <row r="108" spans="2:6">
      <c r="C108" s="36" t="str">
        <f ca="1">C89</f>
        <v/>
      </c>
      <c r="D108" s="40"/>
      <c r="E108" s="18"/>
      <c r="F108" s="18"/>
    </row>
    <row r="109" spans="2:6">
      <c r="C109" s="22" t="s">
        <v>14</v>
      </c>
      <c r="D109" s="23" t="s">
        <v>15</v>
      </c>
      <c r="E109" s="18"/>
      <c r="F109" s="18"/>
    </row>
    <row r="110" spans="2:6">
      <c r="C110" s="22" t="str">
        <f ca="1">D59</f>
        <v/>
      </c>
      <c r="D110" s="23" t="str">
        <f ca="1">D57</f>
        <v/>
      </c>
      <c r="E110" s="18"/>
      <c r="F110" s="18"/>
    </row>
    <row r="111" spans="2:6">
      <c r="C111" s="38" t="str">
        <f>IF(I15,C110/D110," ")</f>
        <v xml:space="preserve"> </v>
      </c>
      <c r="D111" s="41"/>
      <c r="E111" s="18" t="str">
        <f>IF(C111&lt;H50,CONCATENATE(Słownik!$A$8,", ",Słownik!$A$10),IF(C111&gt;I50,CONCATENATE(Słownik!$A$8,", ",Słownik!$A$9),Słownik!$A$7))</f>
        <v>źle, nadpłynność</v>
      </c>
      <c r="F111" s="18"/>
    </row>
    <row r="112" spans="2:6">
      <c r="C112" s="36" t="str">
        <f ca="1">C93</f>
        <v/>
      </c>
      <c r="D112" s="40"/>
      <c r="E112" s="18"/>
      <c r="F112" s="18"/>
    </row>
    <row r="113" spans="2:6">
      <c r="C113" s="22" t="s">
        <v>14</v>
      </c>
      <c r="D113" s="23" t="s">
        <v>15</v>
      </c>
      <c r="E113" s="18"/>
      <c r="F113" s="18"/>
    </row>
    <row r="114" spans="2:6">
      <c r="C114" s="22" t="str">
        <f ca="1">E59</f>
        <v/>
      </c>
      <c r="D114" s="23" t="str">
        <f ca="1">E57</f>
        <v/>
      </c>
      <c r="E114" s="18"/>
      <c r="F114" s="18"/>
    </row>
    <row r="115" spans="2:6">
      <c r="C115" s="38" t="str">
        <f>IF(I15,C114/D114," ")</f>
        <v xml:space="preserve"> </v>
      </c>
      <c r="D115" s="41"/>
      <c r="E115" s="18" t="str">
        <f>IF(C111&lt;H50,CONCATENATE(Słownik!$A$8,", ",Słownik!$A$10),IF(C111&gt;I50,CONCATENATE(Słownik!$A$8,", ",Słownik!$A$9),Słownik!$A$7))</f>
        <v>źle, nadpłynność</v>
      </c>
      <c r="F115" s="18"/>
    </row>
    <row r="116" spans="2:6">
      <c r="C116" s="36" t="str">
        <f ca="1">C97</f>
        <v>Dynamika /</v>
      </c>
      <c r="D116" s="40"/>
      <c r="E116" s="18"/>
      <c r="F116" s="18"/>
    </row>
    <row r="117" spans="2:6">
      <c r="C117" s="38" t="str">
        <f>IF(I15,C111-C107," ")</f>
        <v xml:space="preserve"> </v>
      </c>
      <c r="D117" s="41"/>
      <c r="E117" s="18" t="str">
        <f>IF(C117&gt;0,Słownik!$A$3,IF(C117=0,Słownik!$A$4,Słownik!$A$5))</f>
        <v>wzrost</v>
      </c>
      <c r="F117" s="18" t="str">
        <f>IF(E117=Słownik!$A$3,IF(C107&lt;H50,Słownik!$A$7,Słownik!$A$8),IF(E117=Słownik!$A$4,IF(C107&gt;H50,Słownik!$A$7,Słownik!$A$8),IF(C107&gt;I50,Słownik!$A$7,Słownik!$A$8)))</f>
        <v>źle</v>
      </c>
    </row>
    <row r="118" spans="2:6">
      <c r="C118" s="36" t="str">
        <f ca="1">C99</f>
        <v>Dynamika /</v>
      </c>
      <c r="D118" s="40"/>
      <c r="E118" s="18"/>
      <c r="F118" s="18"/>
    </row>
    <row r="119" spans="2:6">
      <c r="C119" s="38" t="str">
        <f>IF(I15,C115-C111," ")</f>
        <v xml:space="preserve"> </v>
      </c>
      <c r="D119" s="41"/>
      <c r="E119" s="18" t="str">
        <f>IF(C119&gt;0,Słownik!$A$3,IF(C119=0,Słownik!$A$4,Słownik!$A$5))</f>
        <v>wzrost</v>
      </c>
      <c r="F119" s="18" t="str">
        <f>IF(E119=Słownik!$A$3,IF(C111&lt;H50,Słownik!$A$7,Słownik!$A$8),IF(E119=Słownik!$A$4,IF(C111&gt;H50,Słownik!$A$7,Słownik!$A$8),IF(C111&gt;I50,Słownik!$A$7,Słownik!$A$8)))</f>
        <v>źle</v>
      </c>
    </row>
    <row r="120" spans="2:6">
      <c r="C120" s="21"/>
      <c r="D120" s="21"/>
      <c r="E120" s="18"/>
      <c r="F120" s="18"/>
    </row>
    <row r="121" spans="2:6">
      <c r="C121" s="21"/>
      <c r="D121" s="21"/>
      <c r="E121" s="18"/>
      <c r="F121" s="18"/>
    </row>
    <row r="122" spans="2:6">
      <c r="C122" s="21"/>
      <c r="D122" s="21"/>
      <c r="E122" s="18"/>
      <c r="F122" s="18"/>
    </row>
    <row r="123" spans="2:6">
      <c r="B123" t="s">
        <v>41</v>
      </c>
      <c r="C123" s="36" t="str">
        <f ca="1">C104</f>
        <v/>
      </c>
      <c r="D123" s="40"/>
      <c r="E123" s="18" t="s">
        <v>33</v>
      </c>
      <c r="F123" s="18"/>
    </row>
    <row r="124" spans="2:6">
      <c r="C124" s="22" t="s">
        <v>14</v>
      </c>
      <c r="D124" s="23" t="s">
        <v>15</v>
      </c>
      <c r="E124" s="18"/>
      <c r="F124" s="18"/>
    </row>
    <row r="125" spans="2:6">
      <c r="C125" s="22" t="e">
        <f ca="1">C59-C57</f>
        <v>#VALUE!</v>
      </c>
      <c r="D125" s="23" t="str">
        <f ca="1">C60</f>
        <v/>
      </c>
      <c r="E125" s="18"/>
      <c r="F125" s="18"/>
    </row>
    <row r="126" spans="2:6">
      <c r="C126" s="38" t="str">
        <f>IF(I15,C125/D125," ")</f>
        <v xml:space="preserve"> </v>
      </c>
      <c r="D126" s="41"/>
      <c r="E126" s="18" t="str">
        <f>IF(C126&lt;H51,CONCATENATE(Słownik!A8,", ",Słownik!A11),IF(C126&gt;I51,CONCATENATE(Słownik!A8,", ",Słownik!A12),Słownik!A7))</f>
        <v>źle, za wysoki</v>
      </c>
      <c r="F126" s="18"/>
    </row>
    <row r="127" spans="2:6">
      <c r="C127" s="36" t="str">
        <f ca="1">C108</f>
        <v/>
      </c>
      <c r="D127" s="40"/>
      <c r="E127" s="18"/>
      <c r="F127" s="18"/>
    </row>
    <row r="128" spans="2:6">
      <c r="C128" s="22" t="s">
        <v>14</v>
      </c>
      <c r="D128" s="23" t="s">
        <v>15</v>
      </c>
      <c r="E128" s="18"/>
      <c r="F128" s="18"/>
    </row>
    <row r="129" spans="2:6">
      <c r="C129" s="22" t="e">
        <f ca="1">D59-D57</f>
        <v>#VALUE!</v>
      </c>
      <c r="D129" s="23" t="str">
        <f ca="1">D60</f>
        <v/>
      </c>
      <c r="E129" s="18"/>
      <c r="F129" s="18"/>
    </row>
    <row r="130" spans="2:6">
      <c r="C130" s="38" t="str">
        <f>IF(I15,C129/D129," ")</f>
        <v xml:space="preserve"> </v>
      </c>
      <c r="D130" s="41"/>
      <c r="E130" s="18" t="str">
        <f>IF(C130&lt;H51,CONCATENATE(Słownik!A8,", ",Słownik!A11),IF(C130&gt;I51,CONCATENATE(Słownik!A8,", ",Słownik!A12),Słownik!A7))</f>
        <v>źle, za wysoki</v>
      </c>
      <c r="F130" s="18"/>
    </row>
    <row r="131" spans="2:6">
      <c r="C131" s="36" t="str">
        <f ca="1">C112</f>
        <v/>
      </c>
      <c r="D131" s="40"/>
      <c r="E131" s="18"/>
      <c r="F131" s="18"/>
    </row>
    <row r="132" spans="2:6">
      <c r="C132" s="22" t="s">
        <v>14</v>
      </c>
      <c r="D132" s="23" t="s">
        <v>15</v>
      </c>
      <c r="E132" s="18"/>
      <c r="F132" s="18"/>
    </row>
    <row r="133" spans="2:6">
      <c r="C133" s="22" t="e">
        <f ca="1">E59-E57</f>
        <v>#VALUE!</v>
      </c>
      <c r="D133" s="23" t="str">
        <f ca="1">E60</f>
        <v/>
      </c>
      <c r="E133" s="18"/>
      <c r="F133" s="18"/>
    </row>
    <row r="134" spans="2:6">
      <c r="C134" s="38" t="str">
        <f>IF(I15,C133/D133," ")</f>
        <v xml:space="preserve"> </v>
      </c>
      <c r="D134" s="41"/>
      <c r="E134" s="18" t="str">
        <f>IF(C134&lt;H51,CONCATENATE(Słownik!A8,", ",Słownik!A11),IF(C134&gt;I51,CONCATENATE(Słownik!A8,", ",Słownik!A12),Słownik!A7))</f>
        <v>źle, za wysoki</v>
      </c>
      <c r="F134" s="18"/>
    </row>
    <row r="135" spans="2:6">
      <c r="C135" s="36" t="str">
        <f ca="1">C116</f>
        <v>Dynamika /</v>
      </c>
      <c r="D135" s="40"/>
      <c r="E135" s="18"/>
      <c r="F135" s="18"/>
    </row>
    <row r="136" spans="2:6">
      <c r="C136" s="38" t="str">
        <f>IF(I15,C126-C130," ")</f>
        <v xml:space="preserve"> </v>
      </c>
      <c r="D136" s="41"/>
      <c r="E136" s="18" t="str">
        <f>IF(C136&gt;0,Słownik!A3,IF(C136=0,Słownik!A4,Słownik!A5))</f>
        <v>wzrost</v>
      </c>
      <c r="F136" s="18" t="str">
        <f>IF(E136=Słownik!$A$3,IF(C126&lt;H51,Słownik!$A$7,Słownik!$A$8),IF(E136=Słownik!$A$4,IF(C126&gt;H51,Słownik!$A$7,Słownik!$A$8),IF(C126&gt;I51,Słownik!$A$7,Słownik!$A$8)))</f>
        <v>źle</v>
      </c>
    </row>
    <row r="137" spans="2:6">
      <c r="C137" s="36" t="str">
        <f ca="1">C118</f>
        <v>Dynamika /</v>
      </c>
      <c r="D137" s="40"/>
      <c r="E137" s="18"/>
      <c r="F137" s="18"/>
    </row>
    <row r="138" spans="2:6">
      <c r="C138" s="38" t="str">
        <f>IF(I15,C130-C134," ")</f>
        <v xml:space="preserve"> </v>
      </c>
      <c r="D138" s="41"/>
      <c r="E138" s="18" t="str">
        <f>IF(C138&gt;0,Słownik!A3,IF(C138=0,Słownik!A4,Słownik!A5))</f>
        <v>wzrost</v>
      </c>
      <c r="F138" s="18" t="str">
        <f>IF(E138=Słownik!$A$3,IF(C130&lt;H51,Słownik!$A$7,Słownik!$A$8),IF(E138=Słownik!$A$4,IF(C130&gt;H51,Słownik!$A$7,Słownik!$A$8),IF(C130&gt;I51,Słownik!$A$7,Słownik!$A$8)))</f>
        <v>źle</v>
      </c>
    </row>
    <row r="139" spans="2:6">
      <c r="C139" s="21"/>
      <c r="D139" s="21"/>
      <c r="E139" s="18"/>
      <c r="F139" s="18"/>
    </row>
    <row r="140" spans="2:6">
      <c r="C140" s="21"/>
      <c r="D140" s="21"/>
      <c r="E140" s="18"/>
      <c r="F140" s="18"/>
    </row>
    <row r="141" spans="2:6">
      <c r="C141" s="21"/>
      <c r="D141" s="21"/>
      <c r="E141" s="18"/>
      <c r="F141" s="18"/>
    </row>
    <row r="142" spans="2:6">
      <c r="C142" s="21"/>
      <c r="D142" s="21"/>
      <c r="E142" s="18"/>
      <c r="F142" s="18"/>
    </row>
    <row r="143" spans="2:6">
      <c r="B143" t="s">
        <v>42</v>
      </c>
      <c r="C143" s="36" t="str">
        <f ca="1">C123</f>
        <v/>
      </c>
      <c r="D143" s="40"/>
      <c r="E143" s="18" t="s">
        <v>33</v>
      </c>
      <c r="F143" s="18"/>
    </row>
    <row r="144" spans="2:6">
      <c r="C144" s="22" t="s">
        <v>14</v>
      </c>
      <c r="D144" s="23" t="s">
        <v>15</v>
      </c>
      <c r="E144" s="18"/>
      <c r="F144" s="18"/>
    </row>
    <row r="145" spans="3:6">
      <c r="C145" s="22" t="e">
        <f ca="1">C59-C57</f>
        <v>#VALUE!</v>
      </c>
      <c r="D145" s="23" t="str">
        <f ca="1">C59</f>
        <v/>
      </c>
      <c r="E145" s="18"/>
      <c r="F145" s="18"/>
    </row>
    <row r="146" spans="3:6">
      <c r="C146" s="38" t="str">
        <f>IF(I15,C145/D145," ")</f>
        <v xml:space="preserve"> </v>
      </c>
      <c r="D146" s="41"/>
      <c r="E146" s="18" t="str">
        <f>IF(C146&lt;H52,CONCATENATE(Słownik!A8,", ",Słownik!A11),IF(MENU!C146&gt;I52,CONCATENATE(Słownik!A8,", ",Słownik!A12),Słownik!A7))</f>
        <v>źle, za wysoki</v>
      </c>
      <c r="F146" s="18"/>
    </row>
    <row r="147" spans="3:6">
      <c r="C147" s="36" t="str">
        <f ca="1">C127</f>
        <v/>
      </c>
      <c r="D147" s="40"/>
      <c r="E147" s="18"/>
      <c r="F147" s="18"/>
    </row>
    <row r="148" spans="3:6">
      <c r="C148" s="22" t="s">
        <v>14</v>
      </c>
      <c r="D148" s="23" t="s">
        <v>15</v>
      </c>
      <c r="E148" s="18"/>
      <c r="F148" s="18"/>
    </row>
    <row r="149" spans="3:6">
      <c r="C149" s="22" t="e">
        <f ca="1">D59-D57</f>
        <v>#VALUE!</v>
      </c>
      <c r="D149" s="23" t="str">
        <f ca="1">D59</f>
        <v/>
      </c>
      <c r="E149" s="18"/>
      <c r="F149" s="18"/>
    </row>
    <row r="150" spans="3:6">
      <c r="C150" s="38" t="str">
        <f>IF(I15,C149/D149," ")</f>
        <v xml:space="preserve"> </v>
      </c>
      <c r="D150" s="41"/>
      <c r="E150" s="18" t="str">
        <f>IF(C150&lt;H52,CONCATENATE(Słownik!A8,", ",Słownik!A11),IF(C150&gt;I52,CONCATENATE(Słownik!A8,", ",Słownik!A12),Słownik!A7))</f>
        <v>źle, za wysoki</v>
      </c>
      <c r="F150" s="18"/>
    </row>
    <row r="151" spans="3:6">
      <c r="C151" s="36" t="str">
        <f ca="1">C131</f>
        <v/>
      </c>
      <c r="D151" s="40"/>
      <c r="E151" s="18"/>
      <c r="F151" s="18"/>
    </row>
    <row r="152" spans="3:6">
      <c r="C152" s="22" t="s">
        <v>14</v>
      </c>
      <c r="D152" s="23" t="s">
        <v>15</v>
      </c>
      <c r="E152" s="18"/>
      <c r="F152" s="18"/>
    </row>
    <row r="153" spans="3:6">
      <c r="C153" s="22" t="e">
        <f ca="1">E59-E57</f>
        <v>#VALUE!</v>
      </c>
      <c r="D153" s="23" t="str">
        <f ca="1">E59</f>
        <v/>
      </c>
      <c r="E153" s="18"/>
      <c r="F153" s="18"/>
    </row>
    <row r="154" spans="3:6">
      <c r="C154" s="38" t="str">
        <f>IF(I15,C153/D153," ")</f>
        <v xml:space="preserve"> </v>
      </c>
      <c r="D154" s="41"/>
      <c r="E154" s="18" t="str">
        <f>IF(C154&lt;H52,CONCATENATE(Słownik!A8,", ",Słownik!A11),IF(C154&gt;I52,CONCATENATE(Słownik!A8,", ",Słownik!A12),Słownik!A7))</f>
        <v>źle, za wysoki</v>
      </c>
      <c r="F154" s="18"/>
    </row>
    <row r="155" spans="3:6">
      <c r="C155" s="36" t="str">
        <f ca="1">C135</f>
        <v>Dynamika /</v>
      </c>
      <c r="D155" s="40"/>
      <c r="E155" s="18"/>
      <c r="F155" s="18"/>
    </row>
    <row r="156" spans="3:6">
      <c r="C156" s="38" t="str">
        <f>IF(I15,C146/C150," ")</f>
        <v xml:space="preserve"> </v>
      </c>
      <c r="D156" s="41"/>
      <c r="E156" s="18" t="str">
        <f>IF(C156&gt;0,Słownik!A3,IF(C156=0,Słownik!A4,Słownik!A5))</f>
        <v>wzrost</v>
      </c>
      <c r="F156" s="18" t="str">
        <f>IF(E156=Słownik!$A$3,IF(C146&lt;H52,Słownik!$A$7,Słownik!$A$8),IF(E156=Słownik!$A$4,IF(C146&gt;H52,Słownik!$A$7,Słownik!$A$8),IF(C146&gt;I52,Słownik!$A$7,Słownik!$A$8)))</f>
        <v>źle</v>
      </c>
    </row>
    <row r="157" spans="3:6">
      <c r="C157" s="36" t="str">
        <f ca="1">C137</f>
        <v>Dynamika /</v>
      </c>
      <c r="D157" s="40"/>
      <c r="E157" s="18"/>
      <c r="F157" s="18"/>
    </row>
    <row r="158" spans="3:6">
      <c r="C158" s="38" t="str">
        <f>IF(I15,C150/C154," ")</f>
        <v xml:space="preserve"> </v>
      </c>
      <c r="D158" s="41"/>
      <c r="E158" s="18" t="str">
        <f>IF(C158&gt;0,Słownik!A3,IF(C158=0,Słownik!A4,Słownik!A5))</f>
        <v>wzrost</v>
      </c>
      <c r="F158" s="18" t="str">
        <f>IF(E158=Słownik!$A$3,IF(C150&lt;H52,Słownik!$A$7,Słownik!$A$8),IF(E158=Słownik!$A$4,IF(C150&gt;H52,Słownik!$A$7,Słownik!$A$8),IF(C150&gt;I52,Słownik!$A$7,Słownik!$A$8)))</f>
        <v>źle</v>
      </c>
    </row>
  </sheetData>
  <mergeCells count="60">
    <mergeCell ref="K47:N48"/>
    <mergeCell ref="C29:I32"/>
    <mergeCell ref="B34:B35"/>
    <mergeCell ref="C34:I37"/>
    <mergeCell ref="C24:I27"/>
    <mergeCell ref="B24:B25"/>
    <mergeCell ref="B29:B30"/>
    <mergeCell ref="C43:I44"/>
    <mergeCell ref="C39:I41"/>
    <mergeCell ref="C154:D154"/>
    <mergeCell ref="C155:D155"/>
    <mergeCell ref="C156:D156"/>
    <mergeCell ref="C157:D157"/>
    <mergeCell ref="C158:D158"/>
    <mergeCell ref="C143:D143"/>
    <mergeCell ref="C146:D146"/>
    <mergeCell ref="C147:D147"/>
    <mergeCell ref="C150:D150"/>
    <mergeCell ref="C151:D151"/>
    <mergeCell ref="C134:D134"/>
    <mergeCell ref="C135:D135"/>
    <mergeCell ref="C136:D136"/>
    <mergeCell ref="C137:D137"/>
    <mergeCell ref="C138:D138"/>
    <mergeCell ref="C123:D123"/>
    <mergeCell ref="C126:D126"/>
    <mergeCell ref="C127:D127"/>
    <mergeCell ref="C130:D130"/>
    <mergeCell ref="C131:D131"/>
    <mergeCell ref="C115:D115"/>
    <mergeCell ref="C116:D116"/>
    <mergeCell ref="C117:D117"/>
    <mergeCell ref="C118:D118"/>
    <mergeCell ref="C119:D119"/>
    <mergeCell ref="C104:D104"/>
    <mergeCell ref="C107:D107"/>
    <mergeCell ref="C108:D108"/>
    <mergeCell ref="C111:D111"/>
    <mergeCell ref="C112:D112"/>
    <mergeCell ref="C96:D96"/>
    <mergeCell ref="C97:D97"/>
    <mergeCell ref="C98:D98"/>
    <mergeCell ref="C99:D99"/>
    <mergeCell ref="C100:D100"/>
    <mergeCell ref="C85:D85"/>
    <mergeCell ref="C88:D88"/>
    <mergeCell ref="C89:D89"/>
    <mergeCell ref="C92:D92"/>
    <mergeCell ref="C93:D93"/>
    <mergeCell ref="C54:E54"/>
    <mergeCell ref="C79:D79"/>
    <mergeCell ref="C81:D81"/>
    <mergeCell ref="C80:D80"/>
    <mergeCell ref="C82:D82"/>
    <mergeCell ref="C67:D67"/>
    <mergeCell ref="C71:D71"/>
    <mergeCell ref="C75:D75"/>
    <mergeCell ref="C70:D70"/>
    <mergeCell ref="C74:D74"/>
    <mergeCell ref="C78:D78"/>
  </mergeCells>
  <phoneticPr fontId="0" type="noConversion"/>
  <conditionalFormatting sqref="C70">
    <cfRule type="cellIs" dxfId="44" priority="43" operator="lessThan">
      <formula>0.22</formula>
    </cfRule>
    <cfRule type="cellIs" dxfId="43" priority="44" operator="between">
      <formula>0.22</formula>
      <formula>0.28</formula>
    </cfRule>
    <cfRule type="cellIs" dxfId="42" priority="45" operator="greaterThan">
      <formula>0.28</formula>
    </cfRule>
  </conditionalFormatting>
  <conditionalFormatting sqref="C74:D74">
    <cfRule type="cellIs" dxfId="41" priority="40" operator="lessThan">
      <formula>0.22</formula>
    </cfRule>
    <cfRule type="cellIs" dxfId="40" priority="41" operator="between">
      <formula>0.22</formula>
      <formula>0.28</formula>
    </cfRule>
    <cfRule type="cellIs" dxfId="39" priority="42" operator="greaterThan">
      <formula>0.28</formula>
    </cfRule>
  </conditionalFormatting>
  <conditionalFormatting sqref="C78:D78">
    <cfRule type="cellIs" dxfId="38" priority="37" operator="lessThan">
      <formula>0.22</formula>
    </cfRule>
    <cfRule type="cellIs" dxfId="37" priority="38" operator="between">
      <formula>0.22</formula>
      <formula>0.28</formula>
    </cfRule>
    <cfRule type="cellIs" dxfId="36" priority="39" operator="greaterThan">
      <formula>0.28</formula>
    </cfRule>
  </conditionalFormatting>
  <conditionalFormatting sqref="C88">
    <cfRule type="cellIs" dxfId="35" priority="34" operator="greaterThan">
      <formula>1.2</formula>
    </cfRule>
    <cfRule type="cellIs" dxfId="34" priority="35" operator="lessThan">
      <formula>1.05</formula>
    </cfRule>
    <cfRule type="cellIs" dxfId="33" priority="36" operator="between">
      <formula>1.05</formula>
      <formula>1.2</formula>
    </cfRule>
  </conditionalFormatting>
  <conditionalFormatting sqref="C92:D92">
    <cfRule type="cellIs" dxfId="32" priority="31" operator="greaterThan">
      <formula>1.2</formula>
    </cfRule>
    <cfRule type="cellIs" dxfId="31" priority="32" operator="lessThan">
      <formula>1.05</formula>
    </cfRule>
    <cfRule type="cellIs" dxfId="30" priority="33" operator="between">
      <formula>1.05</formula>
      <formula>1.2</formula>
    </cfRule>
  </conditionalFormatting>
  <conditionalFormatting sqref="C96:D96">
    <cfRule type="cellIs" dxfId="29" priority="28" operator="greaterThan">
      <formula>1.2</formula>
    </cfRule>
    <cfRule type="cellIs" dxfId="28" priority="29" operator="lessThan">
      <formula>1.05</formula>
    </cfRule>
    <cfRule type="cellIs" dxfId="27" priority="30" operator="between">
      <formula>1.05</formula>
      <formula>1.2</formula>
    </cfRule>
  </conditionalFormatting>
  <conditionalFormatting sqref="C107">
    <cfRule type="cellIs" dxfId="26" priority="25" operator="lessThan">
      <formula>1.2</formula>
    </cfRule>
    <cfRule type="cellIs" dxfId="25" priority="26" operator="greaterThan">
      <formula>1.25</formula>
    </cfRule>
    <cfRule type="cellIs" dxfId="24" priority="27" operator="between">
      <formula>1.2</formula>
      <formula>1.25</formula>
    </cfRule>
  </conditionalFormatting>
  <conditionalFormatting sqref="C111:D111">
    <cfRule type="cellIs" dxfId="23" priority="22" operator="lessThan">
      <formula>1.2</formula>
    </cfRule>
    <cfRule type="cellIs" dxfId="22" priority="23" operator="greaterThan">
      <formula>1.25</formula>
    </cfRule>
    <cfRule type="cellIs" dxfId="21" priority="24" operator="between">
      <formula>1.2</formula>
      <formula>1.25</formula>
    </cfRule>
  </conditionalFormatting>
  <conditionalFormatting sqref="C115:D115">
    <cfRule type="cellIs" dxfId="20" priority="19" operator="lessThan">
      <formula>1.2</formula>
    </cfRule>
    <cfRule type="cellIs" dxfId="19" priority="20" operator="greaterThan">
      <formula>1.25</formula>
    </cfRule>
    <cfRule type="cellIs" dxfId="18" priority="21" operator="between">
      <formula>1.2</formula>
      <formula>1.25</formula>
    </cfRule>
  </conditionalFormatting>
  <conditionalFormatting sqref="C126">
    <cfRule type="cellIs" dxfId="17" priority="16" operator="greaterThan">
      <formula>5</formula>
    </cfRule>
    <cfRule type="cellIs" dxfId="16" priority="17" operator="lessThan">
      <formula>0.5</formula>
    </cfRule>
    <cfRule type="cellIs" dxfId="15" priority="18" operator="between">
      <formula>0.5</formula>
      <formula>5</formula>
    </cfRule>
  </conditionalFormatting>
  <conditionalFormatting sqref="C130:D130">
    <cfRule type="cellIs" dxfId="14" priority="13" operator="greaterThan">
      <formula>5</formula>
    </cfRule>
    <cfRule type="cellIs" dxfId="13" priority="14" operator="lessThan">
      <formula>0.5</formula>
    </cfRule>
    <cfRule type="cellIs" dxfId="12" priority="15" operator="between">
      <formula>0.5</formula>
      <formula>5</formula>
    </cfRule>
  </conditionalFormatting>
  <conditionalFormatting sqref="C134:D134">
    <cfRule type="cellIs" dxfId="11" priority="10" operator="greaterThan">
      <formula>5</formula>
    </cfRule>
    <cfRule type="cellIs" dxfId="10" priority="11" operator="lessThan">
      <formula>0.5</formula>
    </cfRule>
    <cfRule type="cellIs" dxfId="9" priority="12" operator="between">
      <formula>0.5</formula>
      <formula>5</formula>
    </cfRule>
  </conditionalFormatting>
  <conditionalFormatting sqref="C146">
    <cfRule type="cellIs" dxfId="8" priority="7" operator="lessThan">
      <formula>0.45</formula>
    </cfRule>
    <cfRule type="cellIs" dxfId="7" priority="8" operator="greaterThan">
      <formula>0.55</formula>
    </cfRule>
    <cfRule type="cellIs" dxfId="6" priority="9" operator="between">
      <formula>0.45</formula>
      <formula>0.55</formula>
    </cfRule>
  </conditionalFormatting>
  <conditionalFormatting sqref="C150:D150">
    <cfRule type="cellIs" dxfId="5" priority="4" operator="lessThan">
      <formula>0.45</formula>
    </cfRule>
    <cfRule type="cellIs" dxfId="4" priority="5" operator="greaterThan">
      <formula>0.55</formula>
    </cfRule>
    <cfRule type="cellIs" dxfId="3" priority="6" operator="between">
      <formula>0.45</formula>
      <formula>0.55</formula>
    </cfRule>
  </conditionalFormatting>
  <conditionalFormatting sqref="C154:D154">
    <cfRule type="cellIs" dxfId="2" priority="1" operator="lessThan">
      <formula>0.45</formula>
    </cfRule>
    <cfRule type="cellIs" dxfId="1" priority="2" operator="greaterThan">
      <formula>0.55</formula>
    </cfRule>
    <cfRule type="cellIs" dxfId="0" priority="3" operator="between">
      <formula>0.45</formula>
      <formula>0.55</formula>
    </cfRule>
  </conditionalFormatting>
  <pageMargins left="0.7" right="0.7" top="0.75" bottom="0.75" header="0.3" footer="0.3"/>
  <pageSetup paperSize="9" orientation="portrait" horizontalDpi="4294967294" r:id="rId1"/>
  <ignoredErrors>
    <ignoredError sqref="C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7620</xdr:colOff>
                    <xdr:row>3</xdr:row>
                    <xdr:rowOff>83820</xdr:rowOff>
                  </from>
                  <to>
                    <xdr:col>6</xdr:col>
                    <xdr:colOff>358140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4</xdr:col>
                    <xdr:colOff>7620</xdr:colOff>
                    <xdr:row>2</xdr:row>
                    <xdr:rowOff>0</xdr:rowOff>
                  </from>
                  <to>
                    <xdr:col>6</xdr:col>
                    <xdr:colOff>358140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Przycisk_wczytywania">
              <controlPr defaultSize="0" print="0" autoFill="0" autoPict="0" macro="[0]!Przycisk_wczytywania_Kliknięcie">
                <anchor moveWithCells="1" sizeWithCells="1">
                  <from>
                    <xdr:col>4</xdr:col>
                    <xdr:colOff>38100</xdr:colOff>
                    <xdr:row>9</xdr:row>
                    <xdr:rowOff>38100</xdr:rowOff>
                  </from>
                  <to>
                    <xdr:col>8</xdr:col>
                    <xdr:colOff>281940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Okienko_do_wyboru_plikow">
                <anchor moveWithCells="1" sizeWithCells="1">
                  <from>
                    <xdr:col>1</xdr:col>
                    <xdr:colOff>2804160</xdr:colOff>
                    <xdr:row>4</xdr:row>
                    <xdr:rowOff>15240</xdr:rowOff>
                  </from>
                  <to>
                    <xdr:col>2</xdr:col>
                    <xdr:colOff>922020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Przycisk16_Click">
                <anchor moveWithCells="1" sizeWithCells="1">
                  <from>
                    <xdr:col>7</xdr:col>
                    <xdr:colOff>571500</xdr:colOff>
                    <xdr:row>159</xdr:row>
                    <xdr:rowOff>15240</xdr:rowOff>
                  </from>
                  <to>
                    <xdr:col>9</xdr:col>
                    <xdr:colOff>1310640</xdr:colOff>
                    <xdr:row>161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_xludf.Restart">
                <anchor moveWithCells="1" sizeWithCells="1">
                  <from>
                    <xdr:col>7</xdr:col>
                    <xdr:colOff>99060</xdr:colOff>
                    <xdr:row>64</xdr:row>
                    <xdr:rowOff>106680</xdr:rowOff>
                  </from>
                  <to>
                    <xdr:col>8</xdr:col>
                    <xdr:colOff>464820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oblicz_wskaxniki">
                <anchor moveWithCells="1" sizeWithCells="1">
                  <from>
                    <xdr:col>7</xdr:col>
                    <xdr:colOff>121920</xdr:colOff>
                    <xdr:row>69</xdr:row>
                    <xdr:rowOff>7620</xdr:rowOff>
                  </from>
                  <to>
                    <xdr:col>8</xdr:col>
                    <xdr:colOff>449580</xdr:colOff>
                    <xdr:row>72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Ocena">
                <anchor moveWithCells="1" sizeWithCells="1">
                  <from>
                    <xdr:col>7</xdr:col>
                    <xdr:colOff>129540</xdr:colOff>
                    <xdr:row>73</xdr:row>
                    <xdr:rowOff>91440</xdr:rowOff>
                  </from>
                  <to>
                    <xdr:col>8</xdr:col>
                    <xdr:colOff>441960</xdr:colOff>
                    <xdr:row>76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2:A12"/>
  <sheetViews>
    <sheetView workbookViewId="0">
      <selection activeCell="A13" sqref="A13"/>
    </sheetView>
  </sheetViews>
  <sheetFormatPr defaultRowHeight="13.8"/>
  <sheetData>
    <row r="2" spans="1:1">
      <c r="A2" s="4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>
      <c r="A6" t="s">
        <v>6</v>
      </c>
    </row>
    <row r="7" spans="1:1">
      <c r="A7" t="s">
        <v>38</v>
      </c>
    </row>
    <row r="8" spans="1:1">
      <c r="A8" t="s">
        <v>39</v>
      </c>
    </row>
    <row r="9" spans="1:1">
      <c r="A9" t="s">
        <v>59</v>
      </c>
    </row>
    <row r="10" spans="1:1">
      <c r="A10" t="s">
        <v>60</v>
      </c>
    </row>
    <row r="11" spans="1:1">
      <c r="A11" t="s">
        <v>62</v>
      </c>
    </row>
    <row r="12" spans="1:1">
      <c r="A12" t="s">
        <v>63</v>
      </c>
    </row>
  </sheetData>
  <phoneticPr fontId="0" type="noConversion"/>
  <pageMargins left="0.7" right="0.7" top="0.75" bottom="0.75" header="0.3" footer="0.3"/>
  <pageSetup paperSize="9" orientation="portrait" horizontalDpi="4294967294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AD2D92A7C5D34CB83F6D75A58315BA" ma:contentTypeVersion="7" ma:contentTypeDescription="Create a new document." ma:contentTypeScope="" ma:versionID="8e65c079baa5369f40d2da933db6e451">
  <xsd:schema xmlns:xsd="http://www.w3.org/2001/XMLSchema" xmlns:xs="http://www.w3.org/2001/XMLSchema" xmlns:p="http://schemas.microsoft.com/office/2006/metadata/properties" xmlns:ns3="74663e25-5c1b-497c-bfd5-a07e33a9213b" xmlns:ns4="868c7e15-d6ea-4d44-b97d-8cfe247ae624" targetNamespace="http://schemas.microsoft.com/office/2006/metadata/properties" ma:root="true" ma:fieldsID="a2591d7f3886f48ef7bf8b3cc4306dea" ns3:_="" ns4:_="">
    <xsd:import namespace="74663e25-5c1b-497c-bfd5-a07e33a9213b"/>
    <xsd:import namespace="868c7e15-d6ea-4d44-b97d-8cfe247ae62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663e25-5c1b-497c-bfd5-a07e33a9213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8c7e15-d6ea-4d44-b97d-8cfe247ae6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F1E684-53DA-4BB3-B94A-BA2507BEC08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F94BB6-F24B-4369-B710-C9B5542019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663e25-5c1b-497c-bfd5-a07e33a9213b"/>
    <ds:schemaRef ds:uri="868c7e15-d6ea-4d44-b97d-8cfe247ae6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B0F9EF-6BAE-4F8F-81D6-EE6039867F58}">
  <ds:schemaRefs>
    <ds:schemaRef ds:uri="http://purl.org/dc/terms/"/>
    <ds:schemaRef ds:uri="http://schemas.microsoft.com/office/2006/documentManagement/types"/>
    <ds:schemaRef ds:uri="http://www.w3.org/XML/1998/namespace"/>
    <ds:schemaRef ds:uri="868c7e15-d6ea-4d44-b97d-8cfe247ae624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74663e25-5c1b-497c-bfd5-a07e33a9213b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MENU</vt:lpstr>
      <vt:lpstr>Słownik</vt:lpstr>
      <vt:lpstr>bilans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2008-11-08T20:22:45Z</dcterms:created>
  <dcterms:modified xsi:type="dcterms:W3CDTF">2022-06-14T15:09:45Z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0x01010098AD2D92A7C5D34CB83F6D75A58315BA</vt:lpwstr>
  </property>
</Properties>
</file>